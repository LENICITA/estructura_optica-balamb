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rre admin" sheetId="1" r:id="rId4"/>
    <sheet state="visible" name="Monitor Admin" sheetId="2" r:id="rId5"/>
    <sheet state="visible" name="DiscoSolido Admin" sheetId="3" r:id="rId6"/>
    <sheet state="visible" name="Disco duro interno Admin" sheetId="4" r:id="rId7"/>
    <sheet state="visible" name="Servidor Admin" sheetId="5" r:id="rId8"/>
    <sheet state="visible" name="ram Admin" sheetId="6" r:id="rId9"/>
    <sheet state="visible" name="Teclado Admin" sheetId="7" r:id="rId10"/>
    <sheet state="visible" name="Mause Admin" sheetId="8" r:id="rId11"/>
    <sheet state="visible" name="software licencia" sheetId="9" r:id="rId12"/>
    <sheet state="visible" name="licencia visual" sheetId="10" r:id="rId13"/>
    <sheet state="visible" name="licencia SQL" sheetId="11" r:id="rId14"/>
    <sheet state="visible" name="Hosting y dominio" sheetId="12" r:id="rId15"/>
    <sheet state="visible" name="Frontend" sheetId="13" r:id="rId16"/>
    <sheet state="visible" name="Backend" sheetId="14" r:id="rId17"/>
    <sheet state="visible" name="Cotizacion Mano de Obra" sheetId="15" r:id="rId18"/>
    <sheet state="visible" name="Eleccion de proovedores" sheetId="16" r:id="rId19"/>
  </sheets>
  <definedNames/>
  <calcPr/>
  <extLst>
    <ext uri="GoogleSheetsCustomDataVersion2">
      <go:sheetsCustomData xmlns:go="http://customooxmlschemas.google.com/" r:id="rId20" roundtripDataChecksum="dhYqi+j/xfgUw44F9IQRwWrCZmiV4QndLYVlZlZOByk="/>
    </ext>
  </extLst>
</workbook>
</file>

<file path=xl/sharedStrings.xml><?xml version="1.0" encoding="utf-8"?>
<sst xmlns="http://schemas.openxmlformats.org/spreadsheetml/2006/main" count="580" uniqueCount="355">
  <si>
    <t>CUADRO DE COTIZACIONES</t>
  </si>
  <si>
    <t xml:space="preserve">Cuadro Comparativo de Cotizaciones </t>
  </si>
  <si>
    <t xml:space="preserve">Presupuestos (a)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</si>
  <si>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</si>
  <si>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</si>
  <si>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</si>
  <si>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</si>
  <si>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</si>
  <si>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t>recortes</t>
  </si>
  <si>
    <t>Tipo de cambio</t>
  </si>
  <si>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</si>
  <si>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</si>
  <si>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Nº 1</t>
  </si>
  <si>
    <t xml:space="preserve">Falabella </t>
  </si>
  <si>
    <t>https://www.falabella.com.co/falabella-co/product/148453855/Caja-E-ATX-Thermaltake-H390-TG-ATGB-Black-(750W-80-Plus-Bronze)/148453856</t>
  </si>
  <si>
    <t>Caja E-ATX Thermaltake H390 TG ATGB Black (750W 80 Plus Bronze)</t>
  </si>
  <si>
    <t>CONTADO</t>
  </si>
  <si>
    <t>Diseño muy elegante con vidrio templado. Perfecta si te importa la estética y que los componentes se vean.</t>
  </si>
  <si>
    <t xml:space="preserve">Nº2 </t>
  </si>
  <si>
    <t>Alkosto</t>
  </si>
  <si>
    <t>https://www.pcware.com.co/xpg-starker-atx-1-fan-cooler-argb-vidrio-templado-x1-1-fan-cooler-standard-fuente-de-poder-xpg-probe-600-watts-certificada-80-plus-bronze-negro-by-adata</t>
  </si>
  <si>
    <t>XPG STARKER ATX/ 1 Fan cooler ARGB / Vidrio templado X1 /+ 1 Fan Cooler Standard/+ Fuente de poder XPG PROBE / 600 Watts / Certificada 80 Plus Bronze/negro-by ADATA</t>
  </si>
  <si>
    <t>En PcWare encuentras de forma fácil un gran catálogo el componente o partes de pc al mejor precio</t>
  </si>
  <si>
    <t>Nº 3</t>
  </si>
  <si>
    <t xml:space="preserve">Mercado Libre </t>
  </si>
  <si>
    <t>https://articulo.mercadolibre.com.co/MCO-2611582070-nzxt-h510-elite-torre-atx-blancanegra-cristal-doble-_JM?matt_tool=19390127&amp;utm_source=chatgpt.com</t>
  </si>
  <si>
    <t>Nzxt H510 Elite Torre Atx Blanca/negra, Cristal Doble</t>
  </si>
  <si>
    <t>Computador gamer de escritorio</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</si>
  <si>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</si>
  <si>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</si>
  <si>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10.0"/>
      </rPr>
      <t xml:space="preserve">
(Nombre fiscal de la empresa)</t>
    </r>
  </si>
  <si>
    <r>
      <rPr>
        <rFont val="Trebuchet MS"/>
        <b/>
        <color theme="1"/>
        <sz val="10.0"/>
      </rPr>
      <t>Nº de CUIT, Dirección, Teléfono</t>
    </r>
    <r>
      <rPr>
        <rFont val="Trebuchet MS"/>
        <b val="0"/>
        <i/>
        <color theme="1"/>
        <sz val="10.0"/>
      </rPr>
      <t xml:space="preserve">
(Datos de la empresa)</t>
    </r>
  </si>
  <si>
    <r>
      <rPr>
        <rFont val="Trebuchet MS"/>
        <b/>
        <color theme="1"/>
        <sz val="10.0"/>
      </rPr>
      <t>Descripción del
bien/ servicio (b)</t>
    </r>
    <r>
      <rPr>
        <rFont val="Trebuchet MS"/>
        <b val="0"/>
        <i/>
        <color theme="1"/>
        <sz val="10.0"/>
      </rPr>
      <t xml:space="preserve">
Características de los bienes/ servicios</t>
    </r>
  </si>
  <si>
    <r>
      <rPr>
        <rFont val="Trebuchet MS"/>
        <b/>
        <color theme="1"/>
        <sz val="10.0"/>
      </rPr>
      <t xml:space="preserve">Importe Unitario
</t>
    </r>
    <r>
      <rPr>
        <rFont val="Trebuchet MS"/>
        <b val="0"/>
        <i/>
        <color theme="1"/>
        <sz val="10.0"/>
      </rPr>
      <t>(moneda nacional)</t>
    </r>
  </si>
  <si>
    <r>
      <rPr>
        <rFont val="Trebuchet MS"/>
        <b/>
        <color theme="1"/>
        <sz val="10.0"/>
        <u/>
      </rPr>
      <t xml:space="preserve">Importe Total
 IVA incluido
</t>
    </r>
    <r>
      <rPr>
        <rFont val="Trebuchet MS"/>
        <b val="0"/>
        <i/>
        <color theme="1"/>
        <sz val="10.0"/>
        <u/>
      </rPr>
      <t>(moneda nacional)</t>
    </r>
  </si>
  <si>
    <r>
      <rPr>
        <rFont val="Trebuchet MS"/>
        <b/>
        <color theme="1"/>
        <sz val="10.0"/>
      </rPr>
      <t xml:space="preserve">Importe Total
</t>
    </r>
    <r>
      <rPr>
        <rFont val="Trebuchet MS"/>
        <b val="0"/>
        <i/>
        <color theme="1"/>
        <sz val="10.0"/>
      </rPr>
      <t>(moneda extranjera)</t>
    </r>
  </si>
  <si>
    <r>
      <rPr>
        <rFont val="Trebuchet MS"/>
        <b/>
        <color theme="1"/>
        <sz val="10.0"/>
      </rPr>
      <t xml:space="preserve">Forma de Pago 
</t>
    </r>
    <r>
      <rPr>
        <rFont val="Trebuchet MS"/>
        <b val="0"/>
        <i/>
        <color theme="1"/>
        <sz val="10.0"/>
      </rPr>
      <t>(Contado o Cheque)</t>
    </r>
  </si>
  <si>
    <r>
      <rPr>
        <rFont val="Trebuchet MS"/>
        <b/>
        <color theme="1"/>
        <sz val="10.0"/>
      </rPr>
      <t xml:space="preserve">Observaciones </t>
    </r>
    <r>
      <rPr>
        <rFont val="Trebuchet MS"/>
        <b val="0"/>
        <i/>
        <color theme="1"/>
        <sz val="10.0"/>
      </rPr>
      <t xml:space="preserve">
(se debe incluir toda aquella característica que no ha sido posible incluir anteriormente)</t>
    </r>
  </si>
  <si>
    <t>Mercado libre</t>
  </si>
  <si>
    <t>https://www.mercadolibre.com.co/monitor-lg-22mr410b-2145-va-full-hd-amd-freesync-100hz/up/MCOU2407541747?pdp_filters=item_id%3AMCO1415235253#origin%3Dshare%26sid%3Dshare%26wid%3DMCO1415235253</t>
  </si>
  <si>
    <t>Monitor Lg 22mr410-b 21.45'' Va Full Hd Amd Freesync 100hz Negro 110/220v</t>
  </si>
  <si>
    <t>Voltaje: 110/220V
Tamaño de la pantalla: 21.45 "
Con montaje VESA.
Con pantalla VA.
Con resolución Full HD (1920 px x 1080 px).
Este panel se destaca por ofrecer mejores contrastes y negros más profundos gracias a su tecnología VA.</t>
  </si>
  <si>
    <t>https://www.alkosto.com/monitor-lg-24-pulgadas-24u411a-fhd-plano-negro/p/8806096553190?utm_source=chatgpt.com</t>
  </si>
  <si>
    <t>Monitor LG 24" Pulgadas 24U411A FHD Plano Negro</t>
  </si>
  <si>
    <t>Frecuencia de 120Hz para movimiento más fluido
Pantalla FHD, gran nitidez, calidad de imagen y contraste
Cuidado de ojos con Flicker Safe, reduce la fatiga visual, trabaja con comodidad.
Diseño sin bordes para vista más limpia y moderna
Tamaño ideal para escritorios compactos</t>
  </si>
  <si>
    <t>Falabella</t>
  </si>
  <si>
    <t>https://www.falabella.com.co/falabella-co/product/148209435/Monitor-LG-24-Fhd-120ghz-24U411A-B-Negro/148209436</t>
  </si>
  <si>
    <t>Monitor LG 24 Fhd 120ghz 24U411A-B Negro</t>
  </si>
  <si>
    <t>Pantalla FHD, Gran nitidez, calidad de imagen y contraste</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</si>
  <si>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</si>
  <si>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</si>
  <si>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color theme="1"/>
        <sz val="10.0"/>
      </rPr>
      <t>Empresa</t>
    </r>
    <r>
      <rPr>
        <rFont val="Trebuchet MS"/>
        <i/>
        <color theme="1"/>
        <sz val="8.0"/>
      </rPr>
      <t xml:space="preserve">
(Nombre fiscal de la empresa)</t>
    </r>
  </si>
  <si>
    <r>
      <rPr>
        <rFont val="Trebuchet MS"/>
        <color theme="1"/>
        <sz val="10.0"/>
      </rPr>
      <t>Nº de CUIT, Dirección, Teléfono</t>
    </r>
    <r>
      <rPr>
        <rFont val="Trebuchet MS"/>
        <i/>
        <color theme="1"/>
        <sz val="10.0"/>
      </rPr>
      <t xml:space="preserve">
</t>
    </r>
    <r>
      <rPr>
        <rFont val="Trebuchet MS"/>
        <i/>
        <color theme="1"/>
        <sz val="8.0"/>
      </rPr>
      <t>(Datos de la empresa)</t>
    </r>
  </si>
  <si>
    <r>
      <rPr>
        <rFont val="Trebuchet MS"/>
        <color theme="1"/>
        <sz val="10.0"/>
      </rPr>
      <t>Descripción del
bien/ servicio (b)</t>
    </r>
    <r>
      <rPr>
        <rFont val="Trebuchet MS"/>
        <i/>
        <color theme="1"/>
        <sz val="10.0"/>
      </rPr>
      <t xml:space="preserve">
</t>
    </r>
    <r>
      <rPr>
        <rFont val="Trebuchet MS"/>
        <i/>
        <color theme="1"/>
        <sz val="8.0"/>
      </rPr>
      <t>Características de los bienes/ servicios</t>
    </r>
  </si>
  <si>
    <r>
      <rPr>
        <rFont val="Trebuchet MS"/>
        <color theme="1"/>
        <sz val="10.0"/>
      </rPr>
      <t xml:space="preserve">Importe Unitario
</t>
    </r>
    <r>
      <rPr>
        <rFont val="Trebuchet MS"/>
        <i/>
        <color theme="1"/>
        <sz val="8.0"/>
      </rPr>
      <t>(moneda nacional)</t>
    </r>
  </si>
  <si>
    <r>
      <rPr>
        <rFont val="Trebuchet MS"/>
        <color theme="1"/>
        <sz val="10.0"/>
        <u/>
      </rPr>
      <t>Importe Total</t>
    </r>
    <r>
      <rPr>
        <rFont val="Trebuchet MS"/>
        <color theme="1"/>
        <sz val="10.0"/>
        <u/>
      </rPr>
      <t xml:space="preserve">
 IVA incluido
</t>
    </r>
    <r>
      <rPr>
        <rFont val="Trebuchet MS"/>
        <i/>
        <color theme="1"/>
        <sz val="8.0"/>
        <u/>
      </rPr>
      <t>(moneda nacional)</t>
    </r>
  </si>
  <si>
    <r>
      <rPr>
        <rFont val="Trebuchet MS"/>
        <color theme="1"/>
        <sz val="10.0"/>
      </rPr>
      <t xml:space="preserve">Importe Total
</t>
    </r>
    <r>
      <rPr>
        <rFont val="Trebuchet MS"/>
        <i/>
        <color theme="1"/>
        <sz val="8.0"/>
      </rPr>
      <t>(moneda extranjera)</t>
    </r>
  </si>
  <si>
    <r>
      <rPr>
        <rFont val="Trebuchet MS"/>
        <color theme="1"/>
        <sz val="10.0"/>
      </rPr>
      <t xml:space="preserve">Forma de Pago 
</t>
    </r>
    <r>
      <rPr>
        <rFont val="Trebuchet MS"/>
        <i/>
        <color theme="1"/>
        <sz val="8.0"/>
      </rPr>
      <t>(Contado o Cheque)</t>
    </r>
  </si>
  <si>
    <r>
      <rPr>
        <rFont val="Trebuchet MS"/>
        <color theme="1"/>
        <sz val="10.0"/>
      </rPr>
      <t xml:space="preserve">Observaciones </t>
    </r>
    <r>
      <rPr>
        <rFont val="Trebuchet MS"/>
        <i/>
        <color theme="1"/>
        <sz val="10.0"/>
      </rPr>
      <t xml:space="preserve">
</t>
    </r>
    <r>
      <rPr>
        <rFont val="Trebuchet MS"/>
        <i/>
        <color theme="1"/>
        <sz val="8.0"/>
      </rPr>
      <t>(se debe incluir toda aquella característica que no ha sido posible incluir anteriormente)</t>
    </r>
  </si>
  <si>
    <t xml:space="preserve">MERCADO LIBRE </t>
  </si>
  <si>
    <t>https://articulo.mercadolibre.com.co/MCO-1592061277-ssd-kingston-nv3-1tb-m2-2280-nvme-pcie-40-gen-4x4-6000mbs-_JM?matt_tool=19390127&amp;utm_source=chatgpt.com&amp;search_layout=stack&amp;type=product&amp;tracking_id=aa8e5d63-5d99-467d-8939-e0e1b492ed9b</t>
  </si>
  <si>
    <t>Ssd Kingston Nv3 1tb M.2 2280 Nvme Pcie 4.0 Gen 4x4 6000mb/s</t>
  </si>
  <si>
    <t xml:space="preserve">CONTADO </t>
  </si>
  <si>
    <t>SSD M.2 NVMe, muy rápido, ideal si tu placa madre tiene ranura M.2.</t>
  </si>
  <si>
    <t>ALKOSTO</t>
  </si>
  <si>
    <t>https://www.alkosto.com/disco-estado-solido-externo-adata-sd810-1tb/p/4711085945754</t>
  </si>
  <si>
    <t>Disco Estado Solido Externo ADATA SD810 1TB</t>
  </si>
  <si>
    <t>La unidad de estado sólido externa ADATA SD810 ofrece transferencias ultrarrápidas, hasta 20 veces más rápidas que un disco duro externo común. Su carcasa de aluminio mejora la disipación de calor y su diseño es elegante, ligero y portátil. Funciona con Plug and Play y utiliza conexión USB Tipo-C, compatible con múltiples dispositivos. Ideal para acceder a tu información de forma rápida y segura.</t>
  </si>
  <si>
    <t xml:space="preserve">FALABELLA </t>
  </si>
  <si>
    <t>https://www.falabella.com.co/falabella-co/product/144581511/Disco-Solido-Sandisk-Extreme-SSD-V2-1TB-Portable-1050MBs/144581512?utm_source=chatgpt.com</t>
  </si>
  <si>
    <t>Disco Solido Sandisk Extreme SSD V2 1TB Portable 1050MBs</t>
  </si>
  <si>
    <t>SSD externo portátil, útil si quieres almacenamiento externo o backups rápidos.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</si>
  <si>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</si>
  <si>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</si>
  <si>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</si>
  <si>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</si>
  <si>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</si>
  <si>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</si>
  <si>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</si>
  <si>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Trebuchet MS"/>
        <b/>
        <color theme="1"/>
        <sz val="10.0"/>
      </rPr>
      <t xml:space="preserve">Importe Total
</t>
    </r>
    <r>
      <rPr>
        <rFont val="Trebuchet MS"/>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</si>
  <si>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</si>
  <si>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</si>
  <si>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https://www.mercadolibre.com.co/disco-duro-interno-western-digital-wd10ezex-1tb-plateado/p/MCO20953266#polycard_client=search-nordic&amp;search_layout=stack&amp;position=1&amp;type=product&amp;tracking_id=f6a23257-2aaa-49d5-8d32-eb98f416c944&amp;wid=MCO1339638675&amp;sid=search</t>
  </si>
  <si>
    <t>Disco duro interno Western Digital WD10EZEX 1TB plateado</t>
  </si>
  <si>
    <t>Buena opción para almacenamiento general en PCs de escritorio.</t>
  </si>
  <si>
    <t>FALABELLA</t>
  </si>
  <si>
    <t>https://www.falabella.com.co/falabella-co/product/140457938/Disco-duro-SEAGATE-1TB-interno-BARRACUDA/140457939</t>
  </si>
  <si>
    <t>Disco duro SEAGATE 1TB interno BARRACUDA</t>
  </si>
  <si>
    <t>Este producto posee una interfaz SATA III que se encarga de transferir datos con la placa madre de tu computadora. Es de gran importancia y con su velocidad de envío de información mejora el rendimiento. Podrás cargar todo tipo de archivos en tu PC con rapidez</t>
  </si>
  <si>
    <t>https://www.alkosto.com/disco-duro-adata-hv300-2tb/p/4713218465016</t>
  </si>
  <si>
    <t>Disco Duro ADATA HV300 2TB</t>
  </si>
  <si>
    <t>El disco duro interno ADATA HV300 ofrece un diseño elegante, ultradelgado y fácil de transportar. Su cubierta frontal brillante y su marco texturizado brindan buen agarre y un estilo distintivo. Es ideal para almacenar grandes cantidades de documentos, fotos, música y películas, permitiéndote acceder a tus archivos desde cualquier lugar.</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</si>
  <si>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</si>
  <si>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</si>
  <si>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</si>
  <si>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</si>
  <si>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</si>
  <si>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</si>
  <si>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</si>
  <si>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</si>
  <si>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</si>
  <si>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</si>
  <si>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Mercado Libre</t>
  </si>
  <si>
    <t>https://www.mercadolibre.com.co/servidor-dell-t160-poweredge-ram-16gb-2-tb/p/MCO48019875?pdp_filters=item_id%3AMCO2848485534#origin%3Dshare%26sid%3Dshare%26wid%3DMCO2848485534</t>
  </si>
  <si>
    <t xml:space="preserve">Servidor Dell T160 Poweredge Ram 16gb 2 Tb
</t>
  </si>
  <si>
    <t>Servidor equipado con procesador Intel Xeon E-2414, diseñado para ofrecer alto rendimiento en tareas exigentes. Incluye 16 GB de memoria RAM para un funcionamiento fluido y un disco duro de 2 TB, ideal para manejar grandes volúmenes de datos. Viene como kit de fábrica, lo que facilita una instalación rápida y sencilla</t>
  </si>
  <si>
    <t>distrimark</t>
  </si>
  <si>
    <t>https://distrimak.co/productos/servidor-lenovo-thinksistem-st45-v3-ram-16gb-10-tb-nfp7h/</t>
  </si>
  <si>
    <t>Servidor Lenovo ThinkSistem St45 V3 Ram 16gb 10 TB</t>
  </si>
  <si>
    <t>El Servidor ST45 V3 incorpora un potente procesador AMD EPYC 4124P, acompañado de 16 GB de RAM DDR5 5600 y un disco duro de 10 TB, ideal para manejar grandes volúmenes de información. Ofrece amplia conectividad con múltiples puertos, incluyendo SSD M.2 (x2), USB Tipo A (x8), USB Tipo C (x1), ranuras PCIe, SATA (x2) y opciones para expansión WLAN. Su diseño incorpora 2 ventiladores para una óptima refrigeración. Incluye garantía de 12 meses, conservando los empaques originales.</t>
  </si>
  <si>
    <t>Jumbo</t>
  </si>
  <si>
    <t>https://www.jumbocolombia.com/servidor-dell-poweredge-t140-intel-xeon-16gb-2tb-dvd-20084147/p?idsku=20000079&amp;gad_source=1&amp;gad_campaignid=17861667106&amp;gbraid=0AAAAADlRvS93EMr7T9ku70-zvyYMFmz2f&amp;gclid=Cj0KCQiAi9rJBhCYARIsALyPDtsJDiIKUPr0Xj0DI59o8P37BbtvsqMRm6_UpZHRiX44ylqJ_mWVBBEaAtOEEALw_wcB</t>
  </si>
  <si>
    <t>Servidor dell poweredge t140 intel xeon 16gb 2tb dvd</t>
  </si>
  <si>
    <t>Este servidor cuenta con un procesador Intel Xeon E-2226G de 6 núcleos y hasta 4.70 GHz en modo Turbo, acompañado de 16 GB de RAM DDR4 2666 MHz, ampliables hasta 64 GB. Incluye un disco duro de 2 TB a 7200 RPM, ideal para manejo de grandes volúmenes de datos. Ofrece amplias opciones de expansión con varias ranuras PCIe, tarjeta gráfica VGA, unidad de DVD y múltiples puertos frontales y posteriores, entre ellos USB 3.0, USB 2.0, VGA, puertos seriales, doble Ethernet Gigabit y acceso a administración iDRAC. No incluye sistema operativo.</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</si>
  <si>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</si>
  <si>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</si>
  <si>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</si>
  <si>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</si>
  <si>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</si>
  <si>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</si>
  <si>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</si>
  <si>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Trebuchet MS"/>
        <b/>
        <color theme="1"/>
        <sz val="10.0"/>
      </rPr>
      <t xml:space="preserve">Importe Total
</t>
    </r>
    <r>
      <rPr>
        <rFont val="Trebuchet MS"/>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</si>
  <si>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</si>
  <si>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</si>
  <si>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https://www.falabella.com.co/falabella-co/product/142353465/Memoria-RAM-ADATA-8Gb-DDR4-3200-portatil/142353466?utm_source=chatgpt.com</t>
  </si>
  <si>
    <t>Memoria RAM ADATA 8Gb DDR4 3200 portátil</t>
  </si>
  <si>
    <t>Tipo de módulo: SO-DIMM
Tipo de módulo: Altura estándar de 1,18"
Tipo de memoria: DDR4
Estándar: JEDEC
Número de contactos: 260 contactos
Densidad: 8GB
Velocidad: 3200MHz
Especificaciones/VCC DRAM: DDR4 STD 1.2V
Temperaturas de operación: 0°C a 85°C</t>
  </si>
  <si>
    <t>https://www.mercadolibre.com.co/memoria-ram-de-8-gb-adata-premier-ddr4-u-dimm-de-3200-mhz-para-pc/p/MCO19938775?pdp_filters=item_id%3AMCO2208918320#origin%3Dshare%26sid%3Dshare%26wid%3DMCO2208918320</t>
  </si>
  <si>
    <t>Memoria RAM de 8 GB Adata Premier Ddr4 U-dimm de 3200 Mhz para PC</t>
  </si>
  <si>
    <t>Color de la luz: Verde oscuro.
Optimizá el rendimiento de tu máquina con la tecnología DDR4 SDRAM.
Memoria con formato DIMM.
Apta para computadoras de escritorio.
Línea Premier.
Compatible con Intel Kaby Lake-X.
Alcanza una velocidad de 3.2 GHz.
Cuenta con una tasa de transferencia de 25.6 GB/s.</t>
  </si>
  <si>
    <t>https://articulo.mercadolibre.com.co/MCO-839630378-memoria-ram-samsung-8gb-ddr4-3200-portatil-laptop-inmediata-_JM#origin%3Dshare%26sid%3Dshare</t>
  </si>
  <si>
    <t>Memoria Ram Samsung 8gb Ddr4 3200 Portátil Laptop Inmediata</t>
  </si>
  <si>
    <t>Marca Samsung Línea Premier line Capacidad total 8gb GB</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</si>
  <si>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</si>
  <si>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</si>
  <si>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</si>
  <si>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</si>
  <si>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</si>
  <si>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</si>
  <si>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</si>
  <si>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</si>
  <si>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</si>
  <si>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</si>
  <si>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https://www.mercadolibre.com.co/teclado-inalambrico-bluetooth-logitech-k250-negro/p/MCO54630038?pdp_filters=item_id%3AMCO3153000298#origin%3Dshare%26sid%3Dshare%26wid%3DMCO3153000298</t>
  </si>
  <si>
    <t>Teclado Inalámbrico Bluetooth Logitech K250 Negro</t>
  </si>
  <si>
    <t>El teclado inalámbrico Bluetooth Logitech K250 ofrece una conexión rápida sin necesidad de dongle, facilitando una configuración sencilla. Su diseño compacto incluye teclado numérico, ahorra espacio y brinda una experiencia de escritura cómoda con teclas sensibles y estructura resistente a salpicaduras. Fabricado con plástico reciclado, combina durabilidad y la calidad reconocida de Logitech desde 1981.</t>
  </si>
  <si>
    <t>https://www.alkosto.com/teclado-hp-alambrico-150-basic-negro/p/196548244195</t>
  </si>
  <si>
    <t>Teclado HP Alámbrico 150 Basic Negro</t>
  </si>
  <si>
    <t>Teclado con cable HP 150. Este perfecto compañero plug-and-play es un teclado cómodo con todo lo que necesitas para donde sea que lo lleves</t>
  </si>
  <si>
    <t>https://www.falabella.com.co/falabella-co/product/129554199/TECLADO-INALAMBRICO-MAXELL-WKB-20-SLIM-24GHz/129554200</t>
  </si>
  <si>
    <t>TECLADO INALAMBRICO MAXELL WKB-20 SLIM 24GHz</t>
  </si>
  <si>
    <t>Teclado inalámbrico delgado y multifuncional con pad numérico, que utiliza tecnología 2.4 GHz y ofrece un alcance de hasta 10 m. Sus teclas sensibles brindan comodidad y rapidez al escribir, e incluye soporte de inclinación y orificios de drenaje para protegerlo ante derrames. Es compatible con Windows y Mac. El empaque incluye receptor USB, batería alcalina y manuales.</t>
  </si>
  <si>
    <t>Calle 12 # 34 - 30, Bogotá D.C.</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</si>
  <si>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</si>
  <si>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</si>
  <si>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</si>
  <si>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</si>
  <si>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</si>
  <si>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</si>
  <si>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</si>
  <si>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</si>
  <si>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</si>
  <si>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</si>
  <si>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articulo.mercadolibre.com.co/MCO-1540795711-mouse-recargable-silencioso-inalambrico-ergonomico-negro-_JM#polycard_client=recommendations_pdp-pads-up&amp;reco_backend=recomm_platform_base_merge_pads_rfa&amp;reco_model=search_recos_backend_merge&amp;reco_client=pdp-pads-up&amp;reco_item_pos=3&amp;reco_backend_type=low_level&amp;reco_id=9b068cd5-f950-45aa-ad7a-59c39892e7d4&amp;wid=MCO1540795711&amp;sid=recos&amp;is_advertising=true&amp;ad_domain=PDPDESKTOP_UP&amp;ad_position=4&amp;ad_click_id=ODNlMGY4NWQtY2NkMS00ZjEzLTg5MTEtNzg0YmY5ZGNmN2Yy</t>
  </si>
  <si>
    <t>Mouse Recargable Silencioso Inalámbrico Ergonómico Negro</t>
  </si>
  <si>
    <t>El mouse inalámbrico INNOVAPOLAR cuenta con una batería recargable de litio de 500 mAh de alta capacidad, que ofrece varios meses de uso con una sola carga. Incluye puerto USB-C para carga rápida y prolonga la vida útil del dispositivo, reduciendo la frecuencia de carga y los costos de mantenimiento, mejorando así la eficiencia del trabajo.</t>
  </si>
  <si>
    <t>https://www.alkosto.com/mouse-lenovo-alambrico-gaming-m210-negro/p/195892091356?srsltid=AfmBOoqD54-SQKF205LvPgVSM0Z5EzAlA5o5-urA8F4ShRQc9LMJPngTW9FDMVuEjmQqA7VqCEOgNUNA_RsIVY5Wx0gR5DnHe9ASAQ8M8YRAxeVn3Acejqh0tgN8ueo29TNxAiKe2N0G5LNR214HtNh2oR0UTEyycAdXVxbeQUTvX44aLr_mRDw18-JBsM.3bwOiESxFGE2avoolxd1NMyRwKpAc48tTWFOHEkuV94&amp;dib_tag=se&amp;hvadid=673177383265&amp;hvdev=c&amp;hvlocphy=1003659&amp;hvnetw=g&amp;hvqmt=b&amp;hvrand=4444607748343888028&amp;hvtargid=kwd-17170676&amp;hydadcr=750_1015168472&amp;keywords=mouse%2Bfor%2Blaptop&amp;qid=1717016842&amp;sr=8-1-spons&amp;sp_csd=d2lkZ2V0TmFtZT1zcF9hdGY&amp;th=1</t>
  </si>
  <si>
    <t>Mouse LENOVO Alámbrico Gaming M210 Negro</t>
  </si>
  <si>
    <t>Ratón de computadora para navegar fácilmente por una interfaz de computadora; haga clic, desplazarse y más</t>
  </si>
  <si>
    <t>https://www.falabella.com.co/falabella-co/product/122893598/Mouse-Gamer-Inalambrico-7-Botones-8000-DPI-RGB-USB-Xtrike-Me-GW-611/122893599?kid=shopp254fa&amp;gclsrc=aw.ds&amp;gad_source=1&amp;gad_campaignid=21634415508&amp;gbraid=0AAAAADtuoyRKlGLVZWiZV4-BMIX_d_Rmn&amp;gclid=Cj0KCQiAi9rJBhCYARIsALyPDtvudCCTTcynGzBiRWCE1SQtT9FQVmnfPfnGVg6h5aAhP-TYAHO9UbIaAlOEEALw_wcB</t>
  </si>
  <si>
    <t>Mouse Gamer Inalambrico 7 Botones 8000 DPI RGB USB Xtrike Me GW-611</t>
  </si>
  <si>
    <t>Mouse GW-611 para gaming, color negro, con conectividad Bluetooth y USB. Ofrece hasta 20 horas de autonomía con luz y 100 horas sin luz. Sus dimensiones son 124 x 63 x 40 mm y cuenta con 6 meses de garantía por defectos de fabricación. Producto nuevo y original, fabricado en China.</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</si>
  <si>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</si>
  <si>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</si>
  <si>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</si>
  <si>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</si>
  <si>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</si>
  <si>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</si>
  <si>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</si>
  <si>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</si>
  <si>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</si>
  <si>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</si>
  <si>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AMAZON</t>
  </si>
  <si>
    <t>https://www.amazon.com/-/es/Actualizaci%C3%B3n-Windows-desde-descarga-digital/dp/B09WCTTXQ6</t>
  </si>
  <si>
    <t>Actualización de Windows 11 Pro, desde Windows 11 Home (descarga digital)</t>
  </si>
  <si>
    <t>El sistema ofrece una experiencia más rápida y productiva gracias a una interfaz sencilla, intuitiva y con nuevas funciones que facilitan la multitarea. Permite una colaboración más inteligente mediante reuniones en línea más eficientes, con opciones directas desde la barra de tareas y herramientas como cancelación de ruido y desenfoque de fondo. Garantiza un entorno estable y confiable, con compatibilidad para aplicaciones y herramientas familiares para implementación y actualización. Además, proporciona seguridad potente, protegiendo datos con aislamiento por hardware, cifrado y funciones integradas contra malware.</t>
  </si>
  <si>
    <t xml:space="preserve">SYSTORE COLOMBIA </t>
  </si>
  <si>
    <t>https://systorecolombia.com/windows/942-microsoft-windows-11-profesional-ggk-kit-de-legalizacion-64-bits-oem-4yr-00229.html</t>
  </si>
  <si>
    <t>Microsoft Windows 11 Profesional GGK Kit de Legalización 64 Bits Oem 4YR-00229</t>
  </si>
  <si>
    <t>Licencia para equipo usado, no transferible, muere con la maquina, incluye DVD de instalación</t>
  </si>
  <si>
    <t>falabella</t>
  </si>
  <si>
    <t>https://www.falabella.com.co/falabella-co/product/129798120/Licencia-Fisica-Windows-11-Pro-64bit-Espanol-Latino-Dvd/129798121?utm_source=chatgpt.com</t>
  </si>
  <si>
    <t>Licencia Fisica Windows 11 Pro 64bit Español Latino Dvd</t>
  </si>
  <si>
    <t>Windows 11 Pro está diseñado para pequeñas y medianas empresas, facilitando la gestión de dispositivos y aplicaciones, la protección de datos empresariales, el trabajo remoto y el uso de tecnologías en la nube. Antes de instalarlo, verifica que tu PC cumpla los requisitos mínimos, ya sea consultando al fabricante o usando la herramienta de comprobación de estado de la PC.</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</si>
  <si>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</si>
  <si>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</si>
  <si>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</si>
  <si>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</si>
  <si>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</si>
  <si>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</si>
  <si>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</si>
  <si>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</si>
  <si>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</si>
  <si>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</si>
  <si>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MICROSOFT </t>
  </si>
  <si>
    <t xml:space="preserve">https://www.microsoft.com/es-cl/d/suscripcion-a-visual-studio-enterprise/dg7gmgf0dst4
</t>
  </si>
  <si>
    <t xml:space="preserve">
Suscripción a Visual Studio Enterprise (nuevo)</t>
  </si>
  <si>
    <t>Licencia para desarrollo avanzado de software, ideal para equipos grandes que necesitan integración continua, testing avanzado y soporte premium. Compatible con múltiples plataformas y lenguajes. Requiere sistema operativo Windows actualizado.</t>
  </si>
  <si>
    <t xml:space="preserve">
clics</t>
  </si>
  <si>
    <t>https://3clics.co/index.php/es/otros-softwares/editor-de-codigo/licencia-visual-studio-2019-detail</t>
  </si>
  <si>
    <t>Licencia Visual Studio 2019</t>
  </si>
  <si>
    <t>Código de activación para Visual Studio 2019
Activa el software original para 1 Usuario, por tiempo indefinido.
Activación original por internet
Todos nuestros productos son originales y cuentan con garantía y soporte técnico.
Entrega inmediata directo a tu correo electrónico junto con manual de instalación.</t>
  </si>
  <si>
    <t>https://visualstudio.microsoft.com/es/vs/pricing/</t>
  </si>
  <si>
    <t xml:space="preserve">LICENCIA VISUAL </t>
  </si>
  <si>
    <t>Gratuito</t>
  </si>
  <si>
    <t>Un editor de código fuente independiente que se ejecuta en Windows, macOS y Linux. La elección principal para desarrolladores web y JavaScript, con extensiones para admitir casi cualquier lenguaje de programación.</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</si>
  <si>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</si>
  <si>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</si>
  <si>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</si>
  <si>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</si>
  <si>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</si>
  <si>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</si>
  <si>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</si>
  <si>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</si>
  <si>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</si>
  <si>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</si>
  <si>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LATINKEYS</t>
  </si>
  <si>
    <t>https://latinkeys.com/producto/sql-server-2022-standard-per-core-64bits/</t>
  </si>
  <si>
    <t>SQL Server 2022 Standard – Per Core 64 Bits</t>
  </si>
  <si>
    <t>Oferta incluye soporte técnico limitado y actualizaciones de seguridad.
- Ideal para empresas medianas que requieren estabilidad y escalabilidad.
- Precio competitivo en Colombia con opción de compra en línea.</t>
  </si>
  <si>
    <t>CyberLicense</t>
  </si>
  <si>
    <t>https://cyberlicense.com.co/productos/sql-server-2022-standard/?utm_source=chatgpt.com</t>
  </si>
  <si>
    <t>SQL Server 2022 Standard</t>
  </si>
  <si>
    <t>Microsoft SQL Server 2022 es una solución de base de datos potente y segura, totalmente compatible con Azure, que ofrece innovación continua en rendimiento, seguridad y disponibilidad. Permite integración con Azure Synapse Link y Microsoft Purview para análisis avanzado y control de datos a gran escala. Incluye procesamiento inteligente de consultas, compatibilidad con bases de datos de serie temporal, nuevas funciones JSON y características mejoradas para optimizar el rendimiento sin necesidad de cambios en el código.</t>
  </si>
  <si>
    <t>https://systorecolombia.com/server/252-licencia-sql-server-standard-2019-perpetua-dg7gmgf0fkx9.html</t>
  </si>
  <si>
    <t>Licencia SQL Server Standard 2019 Perpetua DG7GMGF0FKX9</t>
  </si>
  <si>
    <t xml:space="preserve">Licencia SQL Server Standard 2019 Perpetua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</si>
  <si>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</si>
  <si>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</si>
  <si>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</si>
  <si>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</si>
  <si>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</si>
  <si>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</si>
  <si>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</si>
  <si>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</si>
  <si>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</si>
  <si>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</si>
  <si>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MAGOHOST</t>
  </si>
  <si>
    <t>https://magohost.com/colombia/comprar-web-hosting.php?utm_source=chatgpt.com</t>
  </si>
  <si>
    <t>Web Hosting, 1 dominio</t>
  </si>
  <si>
    <t>El servicio incluye hosting web y registro de dominio adquiridos por un período total de 18 meses. Durante este tiempo, el cliente contará con espacio en servidor, correo corporativo, certificado SSL y el nombre de dominio registrado, garantizando la disponibilidad del sitio web y su funcionamiento continuo durante todo el año y medio de servicio.</t>
  </si>
  <si>
    <t>HOSTINGER</t>
  </si>
  <si>
    <t>https://www.hostinger.com/co/recommended/cybernews-hp?utm_medium=affiliate&amp;utm_source=aff187301&amp;utm_campaign=475&amp;session=102ac44c8ef79dff31c857d2206930</t>
  </si>
  <si>
    <t>Web Hosting, 3 dominios</t>
  </si>
  <si>
    <t>El servicio adquirido ofrece la posibilidad de crear hasta 3 sitios web, con 20 GB de almacenamiento SSD para alojar archivos y contenido. Incluye 2 buzones de correo por cada sitio web gratis durante el primer año, así como todos los beneficios del plan Single.
Además, el cliente recibe un dominio gratis durante el primer año, mantenimiento automático de sitios en WordPress, email marketing gratuito por 1 año, y acceso al Creador de páginas web con IA, que permite diseñar sitios en minutos. Todo este paquete está contratado para un período total de 18 meses de servicio.</t>
  </si>
  <si>
    <t xml:space="preserve">hostgator </t>
  </si>
  <si>
    <t>https://www.hostgator.co/web-hosting-quiero-mi-web?idev_id=7442&amp;idev_tid1=19add012ea50-e9df27c6da1&amp;idev_tid2=hosting&amp;utm_source=affiliate&amp;utm_medium=referral&amp;utm_campaign=7442&amp;idev_hash=NzQ0Mi0tMC0wLS0tMTlhZGQwMTJlYTUwLWU5ZGYyN2M2ZGExLWhvc3RpbmctLS1odHRwczovL2FmaWxpYWRvc2hvc3RnYXRvci5jb20vaWRldmFmZmlsaWF0ZTIucGhwL2IxTEZxOXJjeA==</t>
  </si>
  <si>
    <t>Web Hosting, 1 dominio gratis</t>
  </si>
  <si>
    <t>El servicio incluye la posibilidad de crear más de 60 sitios web, con 50 GB de almacenamiento NVMe de alta velocidad y servidores ubicados en Colombia. Permite manejar hasta 80.000 visitas mensuales y ofrece cuentas de correo ilimitadas, garantizando capacidad amplia para proyectos empresariales o múltiples sitios.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</si>
  <si>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</si>
  <si>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</si>
  <si>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</si>
  <si>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</si>
  <si>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</si>
  <si>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</si>
  <si>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</si>
  <si>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</si>
  <si>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</si>
  <si>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</si>
  <si>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Netlify</t>
  </si>
  <si>
    <t>https://www.netlify.com/</t>
  </si>
  <si>
    <t>Frontend</t>
  </si>
  <si>
    <t>Para equipos que construyen y despliegan aplicaciones rápidamente. Incluye repos privados, variables de entorno compartidas, builds concurrentes, analíticas avanzadas y colaboración en equipo.</t>
  </si>
  <si>
    <t>vercel</t>
  </si>
  <si>
    <t>https://vercel.com/</t>
  </si>
  <si>
    <t>frontend</t>
  </si>
  <si>
    <t>Plataforma optimizada para front‑end moderno (Next.js, React, etc.), con deploy automático, CDN, funciones serverless y previews de branches. Ideal para apps rápidas con buen rendimiento.</t>
  </si>
  <si>
    <t xml:space="preserve">Cloudflare Pages </t>
  </si>
  <si>
    <t>https://pages.cloudflare.com/</t>
  </si>
  <si>
    <t>Hosting estático / JAMstack con red global de edge, alta performance, fácil deploy desde Git y baja latencia — bueno si tu frontend necesita ser rápido globalmente.</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</si>
  <si>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</si>
  <si>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</si>
  <si>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</si>
  <si>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</si>
  <si>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</si>
  <si>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</si>
  <si>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</si>
  <si>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</si>
  <si>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</si>
  <si>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</si>
  <si>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Render</t>
  </si>
  <si>
    <t>https://render.com/</t>
  </si>
  <si>
    <t>Backend</t>
  </si>
  <si>
    <t>Plataforma PaaS fácil de usar, con soporte para APIs, bases de datos, contenedores; ideal para backend en Node.js, Python, etc. Buen equilibrio entre facilidad y funcionalidad.</t>
  </si>
  <si>
    <t>Railway</t>
  </si>
  <si>
    <t>https://railway.app/</t>
  </si>
  <si>
    <t>backend</t>
  </si>
  <si>
    <t>Muy conveniente para prototipos o proyectos pequeños: puede desplegar backend + DB rápidamente, con configuración mínima.</t>
  </si>
  <si>
    <t xml:space="preserve">Heroku </t>
  </si>
  <si>
    <t>https://www.heroku.com/</t>
  </si>
  <si>
    <t>Plataforma clásica PaaS: fácil despliegue para APIs/servidores, compatible con muchos lenguajes; buena opción para MVPs o proyectos pequeños-medianos.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</si>
  <si>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</si>
  <si>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</si>
  <si>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Mano de Obra</t>
  </si>
  <si>
    <t>Programador</t>
  </si>
  <si>
    <t>Tarea / Módulo</t>
  </si>
  <si>
    <t>Descripción</t>
  </si>
  <si>
    <t>Horas Estimadas</t>
  </si>
  <si>
    <t>Costo por Hora</t>
  </si>
  <si>
    <t>costo por dia</t>
  </si>
  <si>
    <t>Costo por mes</t>
  </si>
  <si>
    <t>costo por 18 meses</t>
  </si>
  <si>
    <t>Programador 1</t>
  </si>
  <si>
    <t>Documentación, análisis de requerimientos, diseño de arquitectura y base de datos, desarrollo frontend y backend, integración, pruebas y despliegue del sistema.</t>
  </si>
  <si>
    <t>Actividades completas del ciclo de desarrollo del sistema de óptica, desde la documentación inicial hasta la programación, pruebas y despliegue final.</t>
  </si>
  <si>
    <t>Programador 2</t>
  </si>
  <si>
    <t>Programador 3</t>
  </si>
  <si>
    <t>Programador 4</t>
  </si>
  <si>
    <t>TOTAL GENERAL:</t>
  </si>
  <si>
    <t xml:space="preserve">Producto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</si>
  <si>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</si>
  <si>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</si>
  <si>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</si>
  <si>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</si>
  <si>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</si>
  <si>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</si>
  <si>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</si>
  <si>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color theme="1"/>
        <sz val="10.0"/>
      </rPr>
      <t>(se debe incluir toda aquella característica que no ha sido posible incluir anteriormente)</t>
    </r>
  </si>
  <si>
    <r>
      <rPr>
        <rFont val="Trebuchet MS"/>
        <b/>
        <color theme="1"/>
        <sz val="10.0"/>
      </rPr>
      <t xml:space="preserve">Justificacion </t>
    </r>
    <r>
      <rPr>
        <rFont val="Trebuchet MS"/>
        <b val="0"/>
        <i/>
        <color theme="1"/>
        <sz val="10.0"/>
      </rPr>
      <t xml:space="preserve">
</t>
    </r>
    <r>
      <rPr>
        <rFont val="Trebuchet MS"/>
        <b val="0"/>
        <i/>
        <color theme="1"/>
        <sz val="8.0"/>
      </rPr>
      <t>(se debe incluir por que se eligio ese proovedor)</t>
    </r>
  </si>
  <si>
    <t>Torre admin</t>
  </si>
  <si>
    <t>Elegimos Alkosto (PcWare) como proveedor porque ofrece el menor costo total entre las opciones evaluadas, manteniendo una fuente de poder certificada 80 Plus Bronze, buena ventilación, vidrio templado y componentes confiables.
No se selecciona Falabella porque su valor total es considerablemente más alto que el de Alkosto para un producto con características similares, lo cual afecta el presupuesto general del proyecto.
Tampoco se selecciona Mercado Libre, ya que presenta el precio más elevado de los tres proveedores, volviéndose la opción menos eficiente en términos de relación costo–beneficio para el proyecto.</t>
  </si>
  <si>
    <t>Monitor admin</t>
  </si>
  <si>
    <t>Elegimos Mercado Libre como proveedor porque ofrece el precio total más bajo entre las tres opciones evaluadas, manteniendo características adecuadas para el proyecto como pantalla Full HD, panel VA con buen contraste, compatibilidad con FreeSync y una tasa de refresco de 100Hz.
No se selecciona Alkosto porque su monitor, aunque de mayor tamaño (24”), presenta un costo considerablemente más alto, lo que incrementa innecesariamente el presupuesto total del proyecto.
Tampoco se elige Falabella, ya que su precio final es intermedio, pero aún así supera el costo total ofrecido por Mercado Libre, sin aportar una ventaja significativa que justifique pagar más por el mismo tipo de producto.</t>
  </si>
  <si>
    <t>Disco solido admin</t>
  </si>
  <si>
    <t>Elegimos Mercado Libre como proveedor porque ofrece el precio total más bajo entre las tres alternativas evaluadas y además brinda un SSD interno M.2 NVMe, que es considerablemente más rápido y eficiente que las unidades externas. Su velocidad de hasta 6000 MB/s lo convierte en una opción ideal para un entorno de desarrollo con cuatro programadores, donde se requiere rapidez en carga de proyectos, compilación y manejo de archivos pesados.
No se selecciona Alkosto porque su SSD es externo, más costoso y con un uso orientado a portabilidad, no a rendimiento interno en equipos de trabajo. Aunque es resistente y rápido, no ofrece la misma eficiencia que un SSD NVMe interno, y su precio es significativamente mayor.
Tampoco se elige Falabella debido a que su unidad SSD externa presenta un costo total más elevado, sin ofrecer una ventaja clave sobre la opción más económica de Mercado Libre para el objetivo del proyecto.</t>
  </si>
  <si>
    <t>Disco duro interno admin</t>
  </si>
  <si>
    <t>Elegimos Falabella como proveedor porque ofrece el menor costo total entre las opciones evaluadas y proporciona un disco duro interno Seagate Barracuda de 1TB, reconocido por su buena velocidad en la interfaz SATA III y excelente rendimiento para almacenamiento general.
No se selecciona Mercado Libre porque, aunque ofrece también un disco interno de 1TB, su costo total es más alto que el de Falabella, lo que lo vuelve una opción menos eficiente en términos de presupuesto.
Tampoco se elige Alkosto, ya que su unidad ADATA HV300 es externa, tiene un precio significativamente más elevado y está orientada principalmente a portabilidad, no a uso interno en equipos de escritorio, lo cual no se ajusta a las necesidades del proyecto.</t>
  </si>
  <si>
    <t>Seridor admin</t>
  </si>
  <si>
    <t>Elegimos Jumbo como proveedor porque ofrece el precio total más bajo entre las tres alternativas analizadas, manteniendo especificaciones adecuadas para el proyecto. El servidor Dell PowerEdge T140 incluye un procesador Intel Xeon E-2226G, 16 GB de RAM y un disco duro de 2 TB, lo que proporciona un rendimiento sólido, capacidad de expansión y estabilidad suficiente para soportar las necesidades de los cuatro programadores. 
No se selecciona Mercado Libre porque su servidor Dell T160, aunque potente, presenta un costo total considerablemente más alto, lo que impacta negativamente en el presupuesto global del proyecto.
Tampoco se elige Distrimark, pese a ofrecer gran capacidad de almacenamiento (10 TB) y un procesador moderno, ya que su precio total es superior al de Jumbo, y su potencia adicional no es necesaria para los requerimientos del proyecto, por lo que implicaría un gasto innecesario.</t>
  </si>
  <si>
    <t>Ram amin</t>
  </si>
  <si>
    <t>Elegimos Mercado Libre – Adata Premier 8 GB DDR4 3200 MHz porque es compatible con computadoras de escritorio, optimiza el rendimiento y tiene un precio competitivo.
No se elige Falabella ni la otra opción de Mercado Libre porque están diseñadas para portátiles, lo que las hace incompatibles con los equipos de escritorio del proyecto.</t>
  </si>
  <si>
    <t>Teclado admin</t>
  </si>
  <si>
    <t>Elegimos Alkosto como proveedor porque ofrece el precio total más bajo entre las opciones evaluadas y proporciona un teclado HP alámbrico con conexión plug-and-play, ideal para garantizar estabilidad, baja latencia y funcionamiento continuo durante la jornada de trabajo.
No se selecciona Mercado Libre, aun cuando su teclado Logitech es inalámbrico y de buena calidad, debido a que su costo total es más elevado y no aporta beneficios determinantes frente al uso profesional, donde una conexión alámbrica suele ser más confiable.
Tampoco se escoge Falabella, ya que su teclado inalámbrico Maxell, aunque funcional, también presenta un costo total superior al de Alkosto y no ofrece ventajas significativas que compensen el incremento de precio.</t>
  </si>
  <si>
    <t>Mouse admin</t>
  </si>
  <si>
    <t>Elegimos Alkosto como proveedor porque ofrece el costo total más bajo entre las opciones evaluadas y proporciona un mouse Lenovo alámbrico M210, que garantiza baja latencia, estabilidad y compatibilidad universal, características esenciales para las tareas continuas de los programadores en el proyecto. 
No se selecciona Mercado Libre porque, aunque su mouse inalámbrico es recargable y ergonómico, presenta un precio total significativamente más alto, y su batería recargable podría generar dependencia de ciclos de carga que afectan la productividad.
Tampoco se elige Falabella, ya que su mouse gamer inalámbrico, aunque completo y con buena autonomía, también tiene un precio superior y ofrece funciones orientadas al gaming que no son necesarias para el proyecto, lo que implicaría un gasto injustificado.</t>
  </si>
  <si>
    <t>Software licencia</t>
  </si>
  <si>
    <t>Elegimos Amazon como proveedor porque ofrece el precio total más bajo entre las opciones evaluadas y proporciona una actualización digital oficial, lo que permite obtener la licencia de forma rápida, segura y sin costos adicionales de envío. Al ser descarga digital, facilita la activación inmediata en los equipos del proyecto, optimizando tiempos y presupuesto.
No se selecciona Systore Colombia, ya que, aunque su licencia es legal, se trata de una versión OEM que queda atada a un único equipo, lo cual limita la flexibilidad en caso de renovación de hardware y presenta un costo más elevado.
Tampoco se elige Falabella, debido a que su licencia física tiene el precio más alto de las tres alternativas e implica un formato en DVD que no agrega beneficios relevantes para el proyecto y aumenta innecesariamente el gasto.</t>
  </si>
  <si>
    <t>Licencia visual</t>
  </si>
  <si>
    <t>Elegimos Microsoft porque ofrece la versión más completa y actual de Visual Studio, con soporte oficial, actualizaciones continuas y herramientas avanzadas para desarrollo profesional. 
No se escoge 3Clics porque ofrece una licencia de Visual Studio 2019, versión antigua y con menos funcionalidades.
Tampoco se elige Visual Studio Code, ya que es gratuito pero no es un IDE completo ni incluye herramientas empresariales necesarias para el proyecto.</t>
  </si>
  <si>
    <t>Licencia SQL</t>
  </si>
  <si>
    <t>Elegimos Latinkeys porque ofrece el precio total más bajo de las opciones comparadas y proporciona la versión SQL Server 2022 Standard, más reciente que la de otros proveedores. Además, incluye soporte técnico limitado y actualizaciones de seguridad, siendo la alternativa más económica y actualizada para el proyecto.
No se elige CyberLicense porque su costo es considerablemente más alto, aunque ofrece la misma versión 2022.
Tampoco se elige Systore Colombia, ya que vende la versión 2019, menos actual y con un valor más elevado que la opción seleccionada.</t>
  </si>
  <si>
    <t>Hosting y dominio</t>
  </si>
  <si>
    <t>Elegimos Hostinger porque ofrece el precio total más bajo entre los proveedores evaluados y permite alojar hasta 3 sitios web, brindando mayor capacidad por menor costo. Incluye dominio gratis el primer año, almacenamiento SSD, correo corporativo y herramientas adicionales como mantenimiento automático y creador web con IA, lo que lo convierte en la opción más completa y económica.
No se elige Magohost porque su precio es más alto y solo permite 1 dominio, ofreciendo menos beneficios por mayor costo.
Tampoco se selecciona Hostgator, ya que su valor es superior al de Hostinger, a pesar de tener buen almacenamiento, lo cual aumentaría innecesariamente el presupuesto del proyecto.</t>
  </si>
  <si>
    <t>Escogemos Vercel porque está optimizado específicamente para frameworks modernos como Next.js y React, lo que garantiza despliegues más rápidos, integración continua sencilla y un rendimiento superior para aplicaciones front-end. Es la plataforma más adecuada para proyectos web modernos y ofrece herramientas nativas que mejoran el desarrollo y la colaboración.
No se elige Netlify porque, aunque es robusto, ofrece menos optimización directa para frameworks usados actualmente en la industria.
Tampoco se selecciona Cloudflare Pages, ya que está más orientado a proyectos JAMstack estáticos y no ofrece la misma integración avanzada con herramientas de desarrollo como Vercel.</t>
  </si>
  <si>
    <t>Elegimos Render porque ofrece el mejor equilibrio entre costo, facilidad de uso y funcionalidades, permitiendo desplegar APIs, contenedores y bases de datos de forma estable y profesional. Es más completo y robusto que Railway, manteniendo el mismo precio, y resulta más económico que Heroku.
No se elige Railway porque, aunque es sencillo, está más orientado a proyectos pequeños o prototipos y ofrece menos capacidad para escalar.
Tampoco se selecciona Heroku debido a que su costo es significativamente más alto y no aporta ventajas que justifiquen el aumento en el presupuesto.</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</si>
</sst>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_-[$$-240A]\ * #,##0_-;\-[$$-240A]\ * #,##0_-;_-[$$-240A]\ * &quot;-&quot;??_-;_-@"/>
    <numFmt numFmtId="165" formatCode="_([$$-409]* #,##0.000_);_([$$-409]* \(#,##0.000\);_([$$-409]* &quot;-&quot;??.0_);_(@_)"/>
    <numFmt numFmtId="166" formatCode="_-[$$-409]* #,##0.00_ ;_-[$$-409]* \-#,##0.00\ ;_-[$$-409]* &quot;-&quot;??_ ;_-@_ "/>
    <numFmt numFmtId="167" formatCode="&quot;$&quot;#,##0_);[Red]\(&quot;$&quot;#,##0\)"/>
    <numFmt numFmtId="168" formatCode="&quot;$&quot;#,##0.00_);[Red]\(&quot;$&quot;#,##0.00\)"/>
    <numFmt numFmtId="169" formatCode="&quot;$&quot;#,##0"/>
    <numFmt numFmtId="170" formatCode="_-[$$-240A]\ * #,##0.00_-;\-[$$-240A]\ * #,##0.00_-;_-[$$-240A]\ * &quot;-&quot;??_-;_-@"/>
    <numFmt numFmtId="171" formatCode="_([$$-409]* #,##0.00_);_([$$-409]* \(#,##0.00\);_([$$-409]* &quot;-&quot;??_);_(@_)"/>
    <numFmt numFmtId="172" formatCode="_(&quot;$&quot;* #,##0.00_);_(&quot;$&quot;* \(#,##0.00\);_(&quot;$&quot;* &quot;-&quot;??_);_(@_)"/>
  </numFmts>
  <fonts count="56">
    <font>
      <sz val="10.0"/>
      <color rgb="FF000000"/>
      <name val="Arial"/>
      <scheme val="minor"/>
    </font>
    <font>
      <sz val="10.0"/>
      <color theme="1"/>
      <name val="Arial"/>
    </font>
    <font>
      <b/>
      <sz val="12.0"/>
      <color theme="1"/>
      <name val="Arial"/>
    </font>
    <font/>
    <font>
      <b/>
      <sz val="10.0"/>
      <color theme="1"/>
      <name val="Trebuchet MS"/>
    </font>
    <font>
      <b/>
      <u/>
      <sz val="10.0"/>
      <color theme="1"/>
      <name val="Trebuchet MS"/>
    </font>
    <font>
      <i/>
      <sz val="10.0"/>
      <color theme="1"/>
      <name val="Arial"/>
    </font>
    <font>
      <sz val="10.0"/>
      <color rgb="FF000000"/>
      <name val="Trebuchet MS"/>
    </font>
    <font>
      <u/>
      <sz val="10.0"/>
      <color theme="10"/>
      <name val="Trebuchet MS"/>
    </font>
    <font>
      <u/>
      <sz val="10.0"/>
      <color rgb="FF000000"/>
      <name val="Trebuchet MS"/>
    </font>
    <font>
      <sz val="10.0"/>
      <color theme="1"/>
      <name val="Trebuchet MS"/>
    </font>
    <font>
      <sz val="10.0"/>
      <color rgb="FF231F20"/>
      <name val="Trebuchet MS"/>
    </font>
    <font>
      <sz val="10.0"/>
      <color rgb="FF3C4B71"/>
      <name val="Trebuchet MS"/>
    </font>
    <font>
      <sz val="10.0"/>
      <color rgb="FF222222"/>
      <name val="Trebuchet MS"/>
    </font>
    <font>
      <b/>
      <sz val="10.0"/>
      <color theme="1"/>
      <name val="Arial"/>
    </font>
    <font>
      <sz val="10.0"/>
      <color theme="1"/>
      <name val="Arial Narrow"/>
    </font>
    <font>
      <color theme="1"/>
      <name val="Arial"/>
      <scheme val="minor"/>
    </font>
    <font>
      <u/>
      <sz val="10.0"/>
      <color rgb="FF0000FF"/>
      <name val="Trebuchet MS"/>
    </font>
    <font>
      <u/>
      <sz val="10.0"/>
      <color rgb="FF000000"/>
      <name val="Trebuchet MS"/>
    </font>
    <font>
      <u/>
      <sz val="10.0"/>
      <color rgb="FF0000FF"/>
      <name val="Trebuchet MS"/>
    </font>
    <font>
      <sz val="10.0"/>
      <color rgb="FF444444"/>
      <name val="Trebuchet MS"/>
    </font>
    <font>
      <u/>
      <sz val="10.0"/>
      <color theme="1"/>
      <name val="Trebuchet MS"/>
    </font>
    <font>
      <u/>
      <sz val="10.0"/>
      <color rgb="FF0000FF"/>
      <name val="Trebuchet MS"/>
    </font>
    <font>
      <sz val="10.0"/>
      <color rgb="FF333333"/>
      <name val="Trebuchet MS"/>
    </font>
    <font>
      <sz val="11.0"/>
      <color rgb="FF000000"/>
      <name val="Trebuchet MS"/>
    </font>
    <font>
      <b/>
      <u/>
      <sz val="10.0"/>
      <color theme="1"/>
      <name val="Trebuchet MS"/>
    </font>
    <font>
      <sz val="10.0"/>
      <color rgb="FF000000"/>
      <name val="Arial"/>
    </font>
    <font>
      <u/>
      <sz val="10.0"/>
      <color rgb="FF0000FF"/>
      <name val="Arial"/>
    </font>
    <font>
      <u/>
      <sz val="10.0"/>
      <color rgb="FF000000"/>
      <name val="Arial"/>
    </font>
    <font>
      <sz val="10.0"/>
      <color rgb="FF666666"/>
      <name val="Arial"/>
    </font>
    <font>
      <sz val="10.0"/>
      <color rgb="FF231F20"/>
      <name val="Arial"/>
    </font>
    <font>
      <u/>
      <sz val="10.0"/>
      <color theme="10"/>
      <name val="Trebuchet MS"/>
    </font>
    <font>
      <sz val="10.0"/>
      <color rgb="FF333333"/>
      <name val="Arial"/>
    </font>
    <font>
      <sz val="10.0"/>
      <color rgb="FF4A4A4A"/>
      <name val="Arial"/>
    </font>
    <font>
      <u/>
      <sz val="10.0"/>
      <color theme="10"/>
      <name val="Arial"/>
    </font>
    <font>
      <sz val="10.0"/>
      <color rgb="FF444444"/>
      <name val="Arial"/>
    </font>
    <font>
      <u/>
      <sz val="10.0"/>
      <color rgb="FF000000"/>
      <name val="Arial"/>
    </font>
    <font>
      <u/>
      <sz val="10.0"/>
      <color rgb="FF000000"/>
      <name val="Arial"/>
    </font>
    <font>
      <sz val="10.0"/>
      <color rgb="FF0F1111"/>
      <name val="Arial"/>
    </font>
    <font>
      <u/>
      <sz val="10.0"/>
      <color theme="10"/>
      <name val="Arial"/>
    </font>
    <font>
      <u/>
      <sz val="10.0"/>
      <color theme="1"/>
      <name val="Arial"/>
    </font>
    <font>
      <sz val="9.0"/>
      <color theme="1"/>
      <name val="Arial"/>
    </font>
    <font>
      <u/>
      <sz val="10.0"/>
      <color rgb="FF0000FF"/>
      <name val="Arial"/>
    </font>
    <font>
      <u/>
      <sz val="9.0"/>
      <color theme="1"/>
      <name val="Arial"/>
    </font>
    <font>
      <u/>
      <sz val="10.0"/>
      <color theme="1"/>
      <name val="Arial"/>
    </font>
    <font>
      <b/>
      <sz val="14.0"/>
      <color theme="1"/>
      <name val="Arial"/>
      <scheme val="minor"/>
    </font>
    <font>
      <b/>
      <sz val="10.0"/>
      <color rgb="FFFFFFFF"/>
      <name val="Trebuchet MS"/>
    </font>
    <font>
      <color theme="1"/>
      <name val="Trebuchet MS"/>
    </font>
    <font>
      <u/>
      <sz val="10.0"/>
      <color theme="10"/>
      <name val="Trebuchet MS"/>
    </font>
    <font>
      <u/>
      <sz val="10.0"/>
      <color rgb="FF000000"/>
      <name val="Trebuchet MS"/>
    </font>
    <font>
      <sz val="10.0"/>
      <color rgb="FF0F1111"/>
      <name val="Trebuchet MS"/>
    </font>
    <font>
      <u/>
      <sz val="10.0"/>
      <color theme="1"/>
      <name val="Trebuchet MS"/>
    </font>
    <font>
      <sz val="9.0"/>
      <color theme="1"/>
      <name val="Trebuchet MS"/>
    </font>
    <font>
      <u/>
      <sz val="10.0"/>
      <color rgb="FF0000FF"/>
      <name val="Trebuchet MS"/>
    </font>
    <font>
      <u/>
      <sz val="10.0"/>
      <color theme="1"/>
      <name val="Trebuchet MS"/>
    </font>
    <font>
      <u/>
      <sz val="10.0"/>
      <color theme="1"/>
      <name val="Trebuchet MS"/>
    </font>
  </fonts>
  <fills count="10">
    <fill>
      <patternFill patternType="none"/>
    </fill>
    <fill>
      <patternFill patternType="lightGray"/>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5F5F5"/>
        <bgColor rgb="FFF5F5F5"/>
      </patternFill>
    </fill>
    <fill>
      <patternFill patternType="solid">
        <fgColor rgb="FFEFEFEF"/>
        <bgColor rgb="FFEFEFEF"/>
      </patternFill>
    </fill>
    <fill>
      <patternFill patternType="solid">
        <fgColor rgb="FF4F81BD"/>
        <bgColor rgb="FF4F81BD"/>
      </patternFill>
    </fill>
  </fills>
  <borders count="1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left style="thin">
        <color rgb="FF000000"/>
      </left>
      <right/>
      <top style="thin">
        <color rgb="FF000000"/>
      </top>
      <bottom/>
    </border>
  </borders>
  <cellStyleXfs count="1">
    <xf borderId="0" fillId="0" fontId="0" numFmtId="0" applyAlignment="1" applyFont="1"/>
  </cellStyleXfs>
  <cellXfs count="177">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3" fontId="4" numFmtId="0" xfId="0" applyAlignment="1" applyBorder="1" applyFill="1" applyFont="1">
      <alignment horizontal="center" shrinkToFit="0" vertical="center" wrapText="1"/>
    </xf>
    <xf borderId="4" fillId="0" fontId="4" numFmtId="0" xfId="0" applyAlignment="1" applyBorder="1" applyFont="1">
      <alignment horizontal="center" shrinkToFit="0" vertical="center" wrapText="1"/>
    </xf>
    <xf borderId="4" fillId="4" fontId="5" numFmtId="0" xfId="0" applyAlignment="1" applyBorder="1" applyFill="1" applyFont="1">
      <alignment horizontal="center" shrinkToFit="0" vertical="center" wrapText="1"/>
    </xf>
    <xf borderId="5" fillId="5" fontId="4" numFmtId="0" xfId="0" applyAlignment="1" applyBorder="1" applyFill="1" applyFont="1">
      <alignment horizontal="center" readingOrder="0" shrinkToFit="0" vertical="center" wrapText="1"/>
    </xf>
    <xf borderId="0" fillId="0" fontId="6" numFmtId="0" xfId="0" applyAlignment="1" applyFont="1">
      <alignment horizontal="center" vertical="center"/>
    </xf>
    <xf borderId="4" fillId="0" fontId="4" numFmtId="0" xfId="0" applyAlignment="1" applyBorder="1" applyFont="1">
      <alignment horizontal="center" vertical="center"/>
    </xf>
    <xf borderId="4" fillId="0" fontId="7" numFmtId="0" xfId="0" applyAlignment="1" applyBorder="1" applyFont="1">
      <alignment horizontal="center" shrinkToFit="0" vertical="center" wrapText="1"/>
    </xf>
    <xf borderId="4" fillId="0" fontId="8" numFmtId="0" xfId="0" applyAlignment="1" applyBorder="1" applyFont="1">
      <alignment horizontal="center" shrinkToFit="0" vertical="center" wrapText="1"/>
    </xf>
    <xf borderId="4" fillId="6" fontId="7" numFmtId="0" xfId="0" applyAlignment="1" applyBorder="1" applyFill="1" applyFont="1">
      <alignment horizontal="center" readingOrder="0" shrinkToFit="0" vertical="center" wrapText="1"/>
    </xf>
    <xf borderId="4" fillId="0" fontId="7" numFmtId="164" xfId="0" applyAlignment="1" applyBorder="1" applyFont="1" applyNumberFormat="1">
      <alignment horizontal="center" readingOrder="0" shrinkToFit="0" vertical="center" wrapText="1"/>
    </xf>
    <xf borderId="4" fillId="0" fontId="7" numFmtId="164" xfId="0" applyAlignment="1" applyBorder="1" applyFont="1" applyNumberFormat="1">
      <alignment horizontal="center" shrinkToFit="0" vertical="center" wrapText="1"/>
    </xf>
    <xf borderId="4" fillId="0" fontId="7" numFmtId="165" xfId="0" applyAlignment="1" applyBorder="1" applyFont="1" applyNumberFormat="1">
      <alignment horizontal="center" shrinkToFit="0" vertical="center" wrapText="1"/>
    </xf>
    <xf borderId="4" fillId="0" fontId="9" numFmtId="166" xfId="0" applyAlignment="1" applyBorder="1" applyFont="1" applyNumberFormat="1">
      <alignment horizontal="center" shrinkToFit="0" vertical="center" wrapText="1"/>
    </xf>
    <xf borderId="4" fillId="0" fontId="10" numFmtId="0" xfId="0" applyAlignment="1" applyBorder="1" applyFont="1">
      <alignment horizontal="center" shrinkToFit="0" vertical="top" wrapText="1"/>
    </xf>
    <xf borderId="6" fillId="6" fontId="10" numFmtId="0" xfId="0" applyAlignment="1" applyBorder="1" applyFont="1">
      <alignment horizontal="center" shrinkToFit="0" vertical="center" wrapText="1"/>
    </xf>
    <xf borderId="4" fillId="0" fontId="11" numFmtId="0" xfId="0" applyAlignment="1" applyBorder="1" applyFont="1">
      <alignment horizontal="center" shrinkToFit="0" vertical="center" wrapText="1"/>
    </xf>
    <xf borderId="4" fillId="6" fontId="12" numFmtId="0" xfId="0" applyAlignment="1" applyBorder="1" applyFont="1">
      <alignment horizontal="center" readingOrder="0" shrinkToFit="0" vertical="center" wrapText="1"/>
    </xf>
    <xf borderId="6" fillId="6" fontId="4" numFmtId="0" xfId="0" applyAlignment="1" applyBorder="1" applyFont="1">
      <alignment horizontal="center" shrinkToFit="0" vertical="center" wrapText="1"/>
    </xf>
    <xf borderId="4" fillId="6" fontId="13" numFmtId="0" xfId="0" applyAlignment="1" applyBorder="1" applyFont="1">
      <alignment horizontal="center" readingOrder="0" shrinkToFit="0" vertical="center" wrapText="1"/>
    </xf>
    <xf borderId="4" fillId="0" fontId="1" numFmtId="0" xfId="0" applyBorder="1" applyFont="1"/>
    <xf borderId="4" fillId="0" fontId="10" numFmtId="0" xfId="0" applyAlignment="1" applyBorder="1" applyFont="1">
      <alignment horizontal="left" shrinkToFit="0" vertical="top" wrapText="1"/>
    </xf>
    <xf borderId="1" fillId="0" fontId="14" numFmtId="0" xfId="0" applyAlignment="1" applyBorder="1" applyFont="1">
      <alignment horizontal="left" shrinkToFit="0" vertical="center" wrapText="1"/>
    </xf>
    <xf borderId="0" fillId="0" fontId="15" numFmtId="0" xfId="0" applyAlignment="1" applyFont="1">
      <alignment horizontal="center" shrinkToFit="0" vertical="center" wrapText="1"/>
    </xf>
    <xf borderId="0" fillId="0" fontId="16" numFmtId="0" xfId="0" applyAlignment="1" applyFont="1">
      <alignment readingOrder="0"/>
    </xf>
    <xf borderId="4" fillId="5" fontId="4" numFmtId="0" xfId="0" applyAlignment="1" applyBorder="1" applyFont="1">
      <alignment horizontal="center" shrinkToFit="0" vertical="center" wrapText="1"/>
    </xf>
    <xf borderId="4" fillId="0" fontId="17" numFmtId="0" xfId="0" applyAlignment="1" applyBorder="1" applyFont="1">
      <alignment readingOrder="0" shrinkToFit="0" vertical="center" wrapText="1"/>
    </xf>
    <xf borderId="4" fillId="6" fontId="7" numFmtId="0" xfId="0" applyAlignment="1" applyBorder="1" applyFont="1">
      <alignment horizontal="center" readingOrder="0" shrinkToFit="0" vertical="center" wrapText="1"/>
    </xf>
    <xf borderId="4" fillId="0" fontId="7" numFmtId="167" xfId="0" applyAlignment="1" applyBorder="1" applyFont="1" applyNumberFormat="1">
      <alignment horizontal="center" readingOrder="0" shrinkToFit="0" vertical="center" wrapText="1"/>
    </xf>
    <xf borderId="4" fillId="0" fontId="7" numFmtId="168" xfId="0" applyAlignment="1" applyBorder="1" applyFont="1" applyNumberFormat="1">
      <alignment horizontal="center" shrinkToFit="0" vertical="center" wrapText="1"/>
    </xf>
    <xf borderId="4" fillId="0" fontId="10" numFmtId="165" xfId="0" applyAlignment="1" applyBorder="1" applyFont="1" applyNumberFormat="1">
      <alignment horizontal="center" shrinkToFit="0" vertical="top" wrapText="1"/>
    </xf>
    <xf borderId="4" fillId="6" fontId="18" numFmtId="166" xfId="0" applyAlignment="1" applyBorder="1" applyFont="1" applyNumberFormat="1">
      <alignment horizontal="center" shrinkToFit="0" vertical="center" wrapText="1"/>
    </xf>
    <xf borderId="4" fillId="6" fontId="19" numFmtId="0" xfId="0" applyAlignment="1" applyBorder="1" applyFont="1">
      <alignment horizontal="center" readingOrder="0" shrinkToFit="0" vertical="center" wrapText="1"/>
    </xf>
    <xf borderId="4" fillId="6" fontId="20" numFmtId="0" xfId="0" applyAlignment="1" applyBorder="1" applyFont="1">
      <alignment horizontal="center" readingOrder="0" shrinkToFit="0" vertical="center" wrapText="1"/>
    </xf>
    <xf borderId="4" fillId="7" fontId="20" numFmtId="0" xfId="0" applyAlignment="1" applyBorder="1" applyFill="1" applyFont="1">
      <alignment horizontal="center" readingOrder="0" shrinkToFit="0" vertical="center" wrapText="1"/>
    </xf>
    <xf borderId="4" fillId="0" fontId="7" numFmtId="167" xfId="0" applyAlignment="1" applyBorder="1" applyFont="1" applyNumberFormat="1">
      <alignment horizontal="center" shrinkToFit="0" vertical="center" wrapText="1"/>
    </xf>
    <xf borderId="4" fillId="7" fontId="20" numFmtId="0" xfId="0" applyAlignment="1" applyBorder="1" applyFont="1">
      <alignment horizontal="center" shrinkToFit="0" vertical="center" wrapText="1"/>
    </xf>
    <xf borderId="4" fillId="3" fontId="10" numFmtId="0" xfId="0" applyAlignment="1" applyBorder="1" applyFont="1">
      <alignment horizontal="center" shrinkToFit="0" vertical="center" wrapText="1"/>
    </xf>
    <xf borderId="4" fillId="0" fontId="10" numFmtId="0" xfId="0" applyAlignment="1" applyBorder="1" applyFont="1">
      <alignment horizontal="center" shrinkToFit="0" vertical="center" wrapText="1"/>
    </xf>
    <xf borderId="4" fillId="4" fontId="21" numFmtId="0" xfId="0" applyAlignment="1" applyBorder="1" applyFont="1">
      <alignment horizontal="center" shrinkToFit="0" vertical="center" wrapText="1"/>
    </xf>
    <xf borderId="4" fillId="5" fontId="10" numFmtId="0" xfId="0" applyAlignment="1" applyBorder="1" applyFont="1">
      <alignment horizontal="center" shrinkToFit="0" vertical="center" wrapText="1"/>
    </xf>
    <xf borderId="4" fillId="0" fontId="10" numFmtId="0" xfId="0" applyAlignment="1" applyBorder="1" applyFont="1">
      <alignment horizontal="center" vertical="center"/>
    </xf>
    <xf borderId="4" fillId="6" fontId="7" numFmtId="0" xfId="0" applyAlignment="1" applyBorder="1" applyFont="1">
      <alignment horizontal="center" shrinkToFit="0" wrapText="1"/>
    </xf>
    <xf borderId="4" fillId="0" fontId="11" numFmtId="0" xfId="0" applyAlignment="1" applyBorder="1" applyFont="1">
      <alignment horizontal="center" readingOrder="0" shrinkToFit="0" vertical="center" wrapText="1"/>
    </xf>
    <xf borderId="4" fillId="0" fontId="22" numFmtId="0" xfId="0" applyAlignment="1" applyBorder="1" applyFont="1">
      <alignment horizontal="center" readingOrder="0" shrinkToFit="0" vertical="center" wrapText="1"/>
    </xf>
    <xf borderId="4" fillId="6" fontId="7" numFmtId="167" xfId="0" applyAlignment="1" applyBorder="1" applyFont="1" applyNumberFormat="1">
      <alignment horizontal="center" readingOrder="0" vertical="center"/>
    </xf>
    <xf borderId="4" fillId="6" fontId="23" numFmtId="0" xfId="0" applyAlignment="1" applyBorder="1" applyFont="1">
      <alignment horizontal="center" readingOrder="0" shrinkToFit="0" wrapText="1"/>
    </xf>
    <xf borderId="7" fillId="0" fontId="7" numFmtId="0" xfId="0" applyAlignment="1" applyBorder="1" applyFont="1">
      <alignment horizontal="center" shrinkToFit="0" vertical="center" wrapText="1"/>
    </xf>
    <xf borderId="4" fillId="6" fontId="23" numFmtId="0" xfId="0" applyAlignment="1" applyBorder="1" applyFont="1">
      <alignment horizontal="center" readingOrder="0" shrinkToFit="0" vertical="center" wrapText="1"/>
    </xf>
    <xf borderId="7" fillId="0" fontId="7" numFmtId="169" xfId="0" applyAlignment="1" applyBorder="1" applyFont="1" applyNumberFormat="1">
      <alignment horizontal="center" readingOrder="0" shrinkToFit="0" vertical="center" wrapText="1"/>
    </xf>
    <xf borderId="4" fillId="6" fontId="23" numFmtId="0" xfId="0" applyAlignment="1" applyBorder="1" applyFont="1">
      <alignment horizontal="center" shrinkToFit="0" wrapText="1"/>
    </xf>
    <xf borderId="4" fillId="0" fontId="10" numFmtId="0" xfId="0" applyAlignment="1" applyBorder="1" applyFont="1">
      <alignment horizontal="center"/>
    </xf>
    <xf borderId="8" fillId="0" fontId="3" numFmtId="0" xfId="0" applyBorder="1" applyFont="1"/>
    <xf borderId="4" fillId="0" fontId="24" numFmtId="169" xfId="0" applyAlignment="1" applyBorder="1" applyFont="1" applyNumberFormat="1">
      <alignment horizontal="center" readingOrder="0" shrinkToFit="0" vertical="center" wrapText="1"/>
    </xf>
    <xf borderId="7" fillId="0" fontId="4" numFmtId="0" xfId="0" applyAlignment="1" applyBorder="1" applyFont="1">
      <alignment horizontal="center" shrinkToFit="0" vertical="center" wrapText="1"/>
    </xf>
    <xf borderId="9" fillId="4" fontId="25" numFmtId="0" xfId="0" applyAlignment="1" applyBorder="1" applyFont="1">
      <alignment horizontal="center" shrinkToFit="0" vertical="center" wrapText="1"/>
    </xf>
    <xf borderId="10" fillId="5" fontId="4" numFmtId="0" xfId="0" applyAlignment="1" applyBorder="1" applyFont="1">
      <alignment horizontal="center" shrinkToFit="0" vertical="center" wrapText="1"/>
    </xf>
    <xf borderId="1" fillId="0" fontId="4" numFmtId="0" xfId="0" applyAlignment="1" applyBorder="1" applyFont="1">
      <alignment horizontal="center" vertical="center"/>
    </xf>
    <xf borderId="4" fillId="6" fontId="7" numFmtId="164" xfId="0" applyAlignment="1" applyBorder="1" applyFont="1" applyNumberFormat="1">
      <alignment horizontal="center" shrinkToFit="0" vertical="center" wrapText="1"/>
    </xf>
    <xf borderId="4" fillId="0" fontId="7" numFmtId="170" xfId="0" applyAlignment="1" applyBorder="1" applyFont="1" applyNumberFormat="1">
      <alignment horizontal="center" shrinkToFit="0" vertical="center" wrapText="1"/>
    </xf>
    <xf borderId="4" fillId="0" fontId="7" numFmtId="171" xfId="0" applyAlignment="1" applyBorder="1" applyFont="1" applyNumberFormat="1">
      <alignment horizontal="center" shrinkToFit="0" vertical="top" wrapText="1"/>
    </xf>
    <xf borderId="4" fillId="6" fontId="7" numFmtId="0" xfId="0" applyAlignment="1" applyBorder="1" applyFont="1">
      <alignment horizontal="center" shrinkToFit="0" vertical="center" wrapText="1"/>
    </xf>
    <xf borderId="4" fillId="6" fontId="7" numFmtId="164" xfId="0" applyAlignment="1" applyBorder="1" applyFont="1" applyNumberFormat="1">
      <alignment horizontal="center" readingOrder="0" shrinkToFit="0" vertical="center" wrapText="1"/>
    </xf>
    <xf borderId="4" fillId="0" fontId="7" numFmtId="0" xfId="0" applyAlignment="1" applyBorder="1" applyFont="1">
      <alignment horizontal="center" readingOrder="0" shrinkToFit="0" vertical="center" wrapText="1"/>
    </xf>
    <xf borderId="8" fillId="0" fontId="10" numFmtId="0" xfId="0" applyAlignment="1" applyBorder="1" applyFont="1">
      <alignment horizontal="left" shrinkToFit="0" vertical="top" wrapText="1"/>
    </xf>
    <xf borderId="4" fillId="3" fontId="14" numFmtId="0" xfId="0" applyAlignment="1" applyBorder="1" applyFont="1">
      <alignment horizontal="center" shrinkToFit="0" vertical="center" wrapText="1"/>
    </xf>
    <xf borderId="10" fillId="5" fontId="14" numFmtId="171" xfId="0" applyAlignment="1" applyBorder="1" applyFont="1" applyNumberFormat="1">
      <alignment horizontal="center" shrinkToFit="0" vertical="center" wrapText="1"/>
    </xf>
    <xf borderId="1" fillId="0" fontId="14" numFmtId="0" xfId="0" applyAlignment="1" applyBorder="1" applyFont="1">
      <alignment horizontal="center" vertical="center"/>
    </xf>
    <xf borderId="4" fillId="0" fontId="26" numFmtId="0" xfId="0" applyAlignment="1" applyBorder="1" applyFont="1">
      <alignment horizontal="center" readingOrder="0" shrinkToFit="0" vertical="center" wrapText="1"/>
    </xf>
    <xf borderId="4" fillId="0" fontId="27" numFmtId="0" xfId="0" applyAlignment="1" applyBorder="1" applyFont="1">
      <alignment horizontal="center" readingOrder="0" shrinkToFit="0" vertical="center" wrapText="1"/>
    </xf>
    <xf borderId="4" fillId="0" fontId="26" numFmtId="170" xfId="0" applyAlignment="1" applyBorder="1" applyFont="1" applyNumberFormat="1">
      <alignment horizontal="center" readingOrder="0" shrinkToFit="0" vertical="center" wrapText="1"/>
    </xf>
    <xf borderId="4" fillId="0" fontId="26" numFmtId="170" xfId="0" applyAlignment="1" applyBorder="1" applyFont="1" applyNumberFormat="1">
      <alignment horizontal="center" shrinkToFit="0" vertical="center" wrapText="1"/>
    </xf>
    <xf borderId="4" fillId="0" fontId="1" numFmtId="171" xfId="0" applyAlignment="1" applyBorder="1" applyFont="1" applyNumberFormat="1">
      <alignment horizontal="center" shrinkToFit="0" vertical="top" wrapText="1"/>
    </xf>
    <xf borderId="4" fillId="6" fontId="28" numFmtId="166" xfId="0" applyAlignment="1" applyBorder="1" applyFont="1" applyNumberFormat="1">
      <alignment horizontal="center" shrinkToFit="0" vertical="center" wrapText="1"/>
    </xf>
    <xf borderId="4" fillId="0" fontId="26" numFmtId="0" xfId="0" applyAlignment="1" applyBorder="1" applyFont="1">
      <alignment horizontal="center" shrinkToFit="0" vertical="center" wrapText="1"/>
    </xf>
    <xf borderId="4" fillId="6" fontId="29" numFmtId="0" xfId="0" applyAlignment="1" applyBorder="1" applyFont="1">
      <alignment horizontal="center" readingOrder="0" shrinkToFit="0" vertical="center" wrapText="1"/>
    </xf>
    <xf borderId="4" fillId="0" fontId="30" numFmtId="0" xfId="0" applyAlignment="1" applyBorder="1" applyFont="1">
      <alignment horizontal="center" readingOrder="0" shrinkToFit="0" vertical="center" wrapText="1"/>
    </xf>
    <xf borderId="4" fillId="6" fontId="26" numFmtId="0" xfId="0" applyAlignment="1" applyBorder="1" applyFont="1">
      <alignment horizontal="center" readingOrder="0" shrinkToFit="0" vertical="center" wrapText="1"/>
    </xf>
    <xf borderId="4" fillId="6" fontId="26" numFmtId="170" xfId="0" applyAlignment="1" applyBorder="1" applyFont="1" applyNumberFormat="1">
      <alignment horizontal="center" readingOrder="0" shrinkToFit="0" vertical="center" wrapText="1"/>
    </xf>
    <xf borderId="4" fillId="0" fontId="31" numFmtId="0" xfId="0" applyAlignment="1" applyBorder="1" applyFont="1">
      <alignment horizontal="center" readingOrder="0" shrinkToFit="0" vertical="center" wrapText="1"/>
    </xf>
    <xf borderId="4" fillId="0" fontId="7" numFmtId="170" xfId="0" applyAlignment="1" applyBorder="1" applyFont="1" applyNumberFormat="1">
      <alignment horizontal="center" readingOrder="0" shrinkToFit="0" vertical="center" wrapText="1"/>
    </xf>
    <xf borderId="4" fillId="0" fontId="10" numFmtId="171" xfId="0" applyAlignment="1" applyBorder="1" applyFont="1" applyNumberFormat="1">
      <alignment horizontal="center" shrinkToFit="0" vertical="top" wrapText="1"/>
    </xf>
    <xf borderId="4" fillId="6" fontId="7" numFmtId="170" xfId="0" applyAlignment="1" applyBorder="1" applyFont="1" applyNumberFormat="1">
      <alignment horizontal="center" readingOrder="0" shrinkToFit="0" vertical="center" wrapText="1"/>
    </xf>
    <xf borderId="4" fillId="6" fontId="7"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0" fillId="5" fontId="14" numFmtId="0" xfId="0" applyAlignment="1" applyBorder="1" applyFont="1">
      <alignment horizontal="center" shrinkToFit="0" vertical="center" wrapText="1"/>
    </xf>
    <xf borderId="4" fillId="6" fontId="32" numFmtId="0" xfId="0" applyAlignment="1" applyBorder="1" applyFont="1">
      <alignment horizontal="center" readingOrder="0" shrinkToFit="0" vertical="center" wrapText="1"/>
    </xf>
    <xf borderId="4" fillId="6" fontId="33" numFmtId="170" xfId="0" applyAlignment="1" applyBorder="1" applyFont="1" applyNumberFormat="1">
      <alignment horizontal="center" readingOrder="0" shrinkToFit="0" vertical="center" wrapText="1"/>
    </xf>
    <xf borderId="4" fillId="6" fontId="32" numFmtId="0" xfId="0" applyAlignment="1" applyBorder="1" applyFont="1">
      <alignment readingOrder="0" shrinkToFit="0" vertical="center" wrapText="1"/>
    </xf>
    <xf borderId="4" fillId="0" fontId="30" numFmtId="0" xfId="0" applyAlignment="1" applyBorder="1" applyFont="1">
      <alignment horizontal="center" shrinkToFit="0" vertical="center" wrapText="1"/>
    </xf>
    <xf borderId="4" fillId="0" fontId="34" numFmtId="0" xfId="0" applyAlignment="1" applyBorder="1" applyFont="1">
      <alignment horizontal="center" shrinkToFit="0" vertical="center" wrapText="1"/>
    </xf>
    <xf borderId="4" fillId="6" fontId="35" numFmtId="0" xfId="0" applyAlignment="1" applyBorder="1" applyFont="1">
      <alignment horizontal="center" shrinkToFit="0" vertical="center" wrapText="1"/>
    </xf>
    <xf borderId="4" fillId="6" fontId="1" numFmtId="170" xfId="0" applyAlignment="1" applyBorder="1" applyFont="1" applyNumberFormat="1">
      <alignment horizontal="center" shrinkToFit="0" vertical="center" wrapText="1"/>
    </xf>
    <xf borderId="4" fillId="7" fontId="35" numFmtId="0" xfId="0" applyAlignment="1" applyBorder="1" applyFont="1">
      <alignment shrinkToFit="0" vertical="center" wrapText="1"/>
    </xf>
    <xf borderId="7" fillId="0" fontId="26" numFmtId="0" xfId="0" applyAlignment="1" applyBorder="1" applyFont="1">
      <alignment horizontal="center" shrinkToFit="0" vertical="center" wrapText="1"/>
    </xf>
    <xf borderId="7" fillId="0" fontId="26" numFmtId="0" xfId="0" applyAlignment="1" applyBorder="1" applyFont="1">
      <alignment horizontal="center" readingOrder="0" shrinkToFit="0" vertical="center" wrapText="1"/>
    </xf>
    <xf borderId="7" fillId="0" fontId="26" numFmtId="170" xfId="0" applyAlignment="1" applyBorder="1" applyFont="1" applyNumberFormat="1">
      <alignment horizontal="center" readingOrder="0" shrinkToFit="0" vertical="center" wrapText="1"/>
    </xf>
    <xf borderId="7" fillId="0" fontId="26" numFmtId="170" xfId="0" applyAlignment="1" applyBorder="1" applyFont="1" applyNumberFormat="1">
      <alignment horizontal="center" shrinkToFit="0" vertical="center" wrapText="1"/>
    </xf>
    <xf borderId="4" fillId="0" fontId="26" numFmtId="0" xfId="0" applyAlignment="1" applyBorder="1" applyFont="1">
      <alignment horizontal="left" readingOrder="0" shrinkToFit="0" vertical="center" wrapText="1"/>
    </xf>
    <xf borderId="1" fillId="0" fontId="1" numFmtId="0" xfId="0" applyBorder="1" applyFont="1"/>
    <xf borderId="4" fillId="0" fontId="1" numFmtId="0" xfId="0" applyAlignment="1" applyBorder="1" applyFont="1">
      <alignment horizontal="left" shrinkToFit="0" vertical="top" wrapText="1"/>
    </xf>
    <xf borderId="4" fillId="0" fontId="36" numFmtId="0" xfId="0" applyAlignment="1" applyBorder="1" applyFont="1">
      <alignment horizontal="center" readingOrder="0" shrinkToFit="0" vertical="center" wrapText="1"/>
    </xf>
    <xf borderId="5" fillId="6" fontId="37" numFmtId="166" xfId="0" applyAlignment="1" applyBorder="1" applyFont="1" applyNumberFormat="1">
      <alignment horizontal="center" shrinkToFit="0" vertical="center" wrapText="1"/>
    </xf>
    <xf borderId="4" fillId="0" fontId="26" numFmtId="0" xfId="0" applyAlignment="1" applyBorder="1" applyFont="1">
      <alignment horizontal="center" vertical="center"/>
    </xf>
    <xf borderId="6" fillId="6" fontId="26" numFmtId="0" xfId="0" applyAlignment="1" applyBorder="1" applyFont="1">
      <alignment horizontal="center" readingOrder="0" shrinkToFit="0" vertical="center" wrapText="1"/>
    </xf>
    <xf borderId="6" fillId="6" fontId="38" numFmtId="0" xfId="0" applyAlignment="1" applyBorder="1" applyFont="1">
      <alignment horizontal="center" shrinkToFit="0" vertical="center" wrapText="1"/>
    </xf>
    <xf borderId="6" fillId="6" fontId="29" numFmtId="0" xfId="0" applyAlignment="1" applyBorder="1" applyFont="1">
      <alignment horizontal="center" readingOrder="0" shrinkToFit="0" vertical="center" wrapText="1"/>
    </xf>
    <xf borderId="0" fillId="0" fontId="16" numFmtId="0" xfId="0" applyFont="1"/>
    <xf borderId="4" fillId="0" fontId="1" numFmtId="0" xfId="0" applyAlignment="1" applyBorder="1" applyFont="1">
      <alignment horizontal="center" shrinkToFit="0" vertical="center" wrapText="1"/>
    </xf>
    <xf borderId="4" fillId="6" fontId="1" numFmtId="0" xfId="0" applyAlignment="1" applyBorder="1" applyFont="1">
      <alignment horizontal="center" shrinkToFit="0" vertical="center" wrapText="1"/>
    </xf>
    <xf borderId="4" fillId="6" fontId="1" numFmtId="170" xfId="0" applyAlignment="1" applyBorder="1" applyFont="1" applyNumberFormat="1">
      <alignment horizontal="center" readingOrder="0" shrinkToFit="0" vertical="center" wrapText="1"/>
    </xf>
    <xf borderId="4" fillId="0" fontId="1" numFmtId="170" xfId="0" applyAlignment="1" applyBorder="1" applyFont="1" applyNumberFormat="1">
      <alignment horizontal="center" shrinkToFit="0" vertical="center" wrapText="1"/>
    </xf>
    <xf borderId="4" fillId="0" fontId="1" numFmtId="171" xfId="0" applyAlignment="1" applyBorder="1" applyFont="1" applyNumberFormat="1">
      <alignment horizontal="center" shrinkToFit="0" vertical="center" wrapText="1"/>
    </xf>
    <xf borderId="4" fillId="0" fontId="1" numFmtId="166" xfId="0" applyAlignment="1" applyBorder="1" applyFont="1" applyNumberFormat="1">
      <alignment horizontal="center" shrinkToFit="0" vertical="center" wrapText="1"/>
    </xf>
    <xf borderId="4" fillId="0" fontId="1" numFmtId="0" xfId="0" applyAlignment="1" applyBorder="1" applyFont="1">
      <alignment horizontal="center" readingOrder="0" shrinkToFit="0" vertical="center" wrapText="1"/>
    </xf>
    <xf borderId="4" fillId="6" fontId="1" numFmtId="0" xfId="0" applyAlignment="1" applyBorder="1" applyFont="1">
      <alignment horizontal="center" readingOrder="0" shrinkToFit="0" vertical="center" wrapText="1"/>
    </xf>
    <xf borderId="4" fillId="6" fontId="14" numFmtId="170" xfId="0" applyAlignment="1" applyBorder="1" applyFont="1" applyNumberFormat="1">
      <alignment horizontal="center" readingOrder="0" shrinkToFit="0" vertical="center" wrapText="1"/>
    </xf>
    <xf borderId="8" fillId="0" fontId="10" numFmtId="3" xfId="0" applyAlignment="1" applyBorder="1" applyFont="1" applyNumberFormat="1">
      <alignment horizontal="center" shrinkToFit="0" vertical="top" wrapText="1"/>
    </xf>
    <xf borderId="4" fillId="0" fontId="10" numFmtId="3" xfId="0" applyAlignment="1" applyBorder="1" applyFont="1" applyNumberFormat="1">
      <alignment horizontal="center" shrinkToFit="0" vertical="top" wrapText="1"/>
    </xf>
    <xf borderId="4" fillId="0" fontId="1" numFmtId="0" xfId="0" applyAlignment="1" applyBorder="1" applyFont="1">
      <alignment horizontal="center" shrinkToFit="0" vertical="top" wrapText="1"/>
    </xf>
    <xf borderId="4" fillId="0" fontId="39" numFmtId="0" xfId="0" applyAlignment="1" applyBorder="1" applyFont="1">
      <alignment horizontal="center" shrinkToFit="0" vertical="top" wrapText="1"/>
    </xf>
    <xf borderId="4" fillId="0" fontId="40" numFmtId="0" xfId="0" applyAlignment="1" applyBorder="1" applyFont="1">
      <alignment horizontal="center" shrinkToFit="0" vertical="top" wrapText="1"/>
    </xf>
    <xf borderId="4" fillId="0" fontId="41" numFmtId="172" xfId="0" applyAlignment="1" applyBorder="1" applyFont="1" applyNumberFormat="1">
      <alignment horizontal="center" readingOrder="0" shrinkToFit="0" vertical="center" wrapText="1"/>
    </xf>
    <xf borderId="4" fillId="0" fontId="1" numFmtId="172" xfId="0" applyAlignment="1" applyBorder="1" applyFont="1" applyNumberFormat="1">
      <alignment horizontal="center" shrinkToFit="0" vertical="top" wrapText="1"/>
    </xf>
    <xf borderId="4" fillId="0" fontId="41" numFmtId="166" xfId="0" applyAlignment="1" applyBorder="1" applyFont="1" applyNumberFormat="1">
      <alignment horizontal="center" shrinkToFit="0" vertical="center" wrapText="1"/>
    </xf>
    <xf borderId="4" fillId="0" fontId="41" numFmtId="0" xfId="0" applyAlignment="1" applyBorder="1" applyFont="1">
      <alignment horizontal="center" shrinkToFit="0" vertical="center" wrapText="1"/>
    </xf>
    <xf borderId="4" fillId="0" fontId="1" numFmtId="0" xfId="0" applyAlignment="1" applyBorder="1" applyFont="1">
      <alignment horizontal="center" readingOrder="0" shrinkToFit="0" vertical="top" wrapText="1"/>
    </xf>
    <xf borderId="4" fillId="0" fontId="42" numFmtId="0" xfId="0" applyAlignment="1" applyBorder="1" applyFont="1">
      <alignment horizontal="center" readingOrder="0" shrinkToFit="0" vertical="top" wrapText="1"/>
    </xf>
    <xf borderId="4" fillId="8" fontId="41" numFmtId="0" xfId="0" applyAlignment="1" applyBorder="1" applyFill="1" applyFont="1">
      <alignment horizontal="center" readingOrder="0" shrinkToFit="0" vertical="center" wrapText="1"/>
    </xf>
    <xf borderId="4" fillId="0" fontId="43" numFmtId="0" xfId="0" applyAlignment="1" applyBorder="1" applyFont="1">
      <alignment horizontal="center" shrinkToFit="0" vertical="center" wrapText="1"/>
    </xf>
    <xf borderId="4" fillId="0" fontId="44" numFmtId="0" xfId="0" applyAlignment="1" applyBorder="1" applyFont="1">
      <alignment horizontal="center" readingOrder="0" shrinkToFit="0" vertical="top" wrapText="1"/>
    </xf>
    <xf borderId="4" fillId="0" fontId="1" numFmtId="170" xfId="0" applyAlignment="1" applyBorder="1" applyFont="1" applyNumberFormat="1">
      <alignment horizontal="center" readingOrder="0" shrinkToFit="0" vertical="top" wrapText="1"/>
    </xf>
    <xf borderId="4" fillId="0" fontId="1" numFmtId="170" xfId="0" applyAlignment="1" applyBorder="1" applyFont="1" applyNumberFormat="1">
      <alignment horizontal="center" shrinkToFit="0" vertical="top" wrapText="1"/>
    </xf>
    <xf borderId="4" fillId="0" fontId="1" numFmtId="166" xfId="0" applyAlignment="1" applyBorder="1" applyFont="1" applyNumberFormat="1">
      <alignment horizontal="center" shrinkToFit="0" vertical="top" wrapText="1"/>
    </xf>
    <xf borderId="4" fillId="6" fontId="1" numFmtId="0" xfId="0" applyAlignment="1" applyBorder="1" applyFont="1">
      <alignment shrinkToFit="0" vertical="center" wrapText="1"/>
    </xf>
    <xf borderId="7" fillId="0" fontId="4" numFmtId="0" xfId="0" applyAlignment="1" applyBorder="1" applyFont="1">
      <alignment horizontal="center" readingOrder="0" shrinkToFit="0" vertical="center" wrapText="1"/>
    </xf>
    <xf borderId="0" fillId="0" fontId="45" numFmtId="0" xfId="0" applyAlignment="1" applyFont="1">
      <alignment horizontal="center" readingOrder="0"/>
    </xf>
    <xf borderId="4" fillId="9" fontId="46" numFmtId="0" xfId="0" applyAlignment="1" applyBorder="1" applyFill="1" applyFont="1">
      <alignment horizontal="center" readingOrder="0" shrinkToFit="0" vertical="center" wrapText="1"/>
    </xf>
    <xf borderId="4" fillId="0" fontId="7" numFmtId="0" xfId="0" applyAlignment="1" applyBorder="1" applyFont="1">
      <alignment horizontal="center" shrinkToFit="0" vertical="center" wrapText="1"/>
    </xf>
    <xf borderId="4" fillId="0" fontId="10" numFmtId="0" xfId="0" applyAlignment="1" applyBorder="1" applyFont="1">
      <alignment horizontal="center" shrinkToFit="0" vertical="center" wrapText="1"/>
    </xf>
    <xf borderId="4" fillId="3" fontId="14"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6" fontId="47" numFmtId="0" xfId="0" applyAlignment="1" applyBorder="1" applyFont="1">
      <alignment horizontal="center" readingOrder="0" shrinkToFit="0" vertical="center" wrapText="1"/>
    </xf>
    <xf borderId="4" fillId="6" fontId="11" numFmtId="0" xfId="0" applyAlignment="1" applyBorder="1" applyFont="1">
      <alignment horizontal="center" shrinkToFit="0" vertical="center" wrapText="1"/>
    </xf>
    <xf borderId="4" fillId="6" fontId="48" numFmtId="0" xfId="0" applyAlignment="1" applyBorder="1" applyFont="1">
      <alignment horizontal="center" shrinkToFit="0" vertical="center" wrapText="1"/>
    </xf>
    <xf borderId="4" fillId="6" fontId="7" numFmtId="165" xfId="0" applyAlignment="1" applyBorder="1" applyFont="1" applyNumberFormat="1">
      <alignment horizontal="center" shrinkToFit="0" vertical="center" wrapText="1"/>
    </xf>
    <xf borderId="4" fillId="6" fontId="10" numFmtId="0" xfId="0" applyAlignment="1" applyBorder="1" applyFont="1">
      <alignment horizontal="center" shrinkToFit="0" vertical="center" wrapText="1"/>
    </xf>
    <xf borderId="4" fillId="6" fontId="7" numFmtId="167" xfId="0" applyAlignment="1" applyBorder="1" applyFont="1" applyNumberFormat="1">
      <alignment horizontal="center" readingOrder="0" shrinkToFit="0" vertical="center" wrapText="1"/>
    </xf>
    <xf borderId="4" fillId="6" fontId="7" numFmtId="168" xfId="0" applyAlignment="1" applyBorder="1" applyFont="1" applyNumberFormat="1">
      <alignment horizontal="center" shrinkToFit="0" vertical="center" wrapText="1"/>
    </xf>
    <xf borderId="4" fillId="6" fontId="10" numFmtId="165" xfId="0" applyAlignment="1" applyBorder="1" applyFont="1" applyNumberFormat="1">
      <alignment horizontal="center" shrinkToFit="0" vertical="center" wrapText="1"/>
    </xf>
    <xf borderId="4" fillId="6" fontId="7" numFmtId="167" xfId="0" applyAlignment="1" applyBorder="1" applyFont="1" applyNumberFormat="1">
      <alignment horizontal="center" shrinkToFit="0" vertical="center" wrapText="1"/>
    </xf>
    <xf borderId="4" fillId="6" fontId="7" numFmtId="170" xfId="0" applyAlignment="1" applyBorder="1" applyFont="1" applyNumberFormat="1">
      <alignment horizontal="center" shrinkToFit="0" vertical="center" wrapText="1"/>
    </xf>
    <xf borderId="4" fillId="6" fontId="7" numFmtId="171" xfId="0" applyAlignment="1" applyBorder="1" applyFont="1" applyNumberFormat="1">
      <alignment horizontal="center" shrinkToFit="0" vertical="center" wrapText="1"/>
    </xf>
    <xf borderId="4" fillId="6" fontId="10" numFmtId="171" xfId="0" applyAlignment="1" applyBorder="1" applyFont="1" applyNumberFormat="1">
      <alignment horizontal="center" shrinkToFit="0" vertical="center" wrapText="1"/>
    </xf>
    <xf borderId="4" fillId="0" fontId="10" numFmtId="171" xfId="0" applyAlignment="1" applyBorder="1" applyFont="1" applyNumberFormat="1">
      <alignment horizontal="center" shrinkToFit="0" vertical="center" wrapText="1"/>
    </xf>
    <xf borderId="4" fillId="6" fontId="20" numFmtId="0" xfId="0" applyAlignment="1" applyBorder="1" applyFont="1">
      <alignment horizontal="center" shrinkToFit="0" vertical="center" wrapText="1"/>
    </xf>
    <xf borderId="4" fillId="6" fontId="10" numFmtId="170" xfId="0" applyAlignment="1" applyBorder="1" applyFont="1" applyNumberFormat="1">
      <alignment horizontal="center" shrinkToFit="0" vertical="center" wrapText="1"/>
    </xf>
    <xf borderId="5" fillId="6" fontId="49" numFmtId="166" xfId="0" applyAlignment="1" applyBorder="1" applyFont="1" applyNumberFormat="1">
      <alignment horizontal="center" shrinkToFit="0" vertical="center" wrapText="1"/>
    </xf>
    <xf borderId="6" fillId="6" fontId="50" numFmtId="0" xfId="0" applyAlignment="1" applyBorder="1" applyFont="1">
      <alignment horizontal="center" shrinkToFit="0" vertical="center" wrapText="1"/>
    </xf>
    <xf borderId="4" fillId="6" fontId="10" numFmtId="170" xfId="0" applyAlignment="1" applyBorder="1" applyFont="1" applyNumberFormat="1">
      <alignment horizontal="center" readingOrder="0" shrinkToFit="0" vertical="center" wrapText="1"/>
    </xf>
    <xf borderId="4" fillId="6" fontId="10" numFmtId="166" xfId="0" applyAlignment="1" applyBorder="1" applyFont="1" applyNumberFormat="1">
      <alignment horizontal="center" shrinkToFit="0" vertical="center" wrapText="1"/>
    </xf>
    <xf borderId="4" fillId="6" fontId="51" numFmtId="0" xfId="0" applyAlignment="1" applyBorder="1" applyFont="1">
      <alignment horizontal="center" shrinkToFit="0" vertical="center" wrapText="1"/>
    </xf>
    <xf borderId="4" fillId="6" fontId="52" numFmtId="172" xfId="0" applyAlignment="1" applyBorder="1" applyFont="1" applyNumberFormat="1">
      <alignment horizontal="center" readingOrder="0" shrinkToFit="0" vertical="center" wrapText="1"/>
    </xf>
    <xf borderId="4" fillId="6" fontId="10" numFmtId="172" xfId="0" applyAlignment="1" applyBorder="1" applyFont="1" applyNumberFormat="1">
      <alignment horizontal="center" shrinkToFit="0" vertical="center" wrapText="1"/>
    </xf>
    <xf borderId="4" fillId="6" fontId="52" numFmtId="166" xfId="0" applyAlignment="1" applyBorder="1" applyFont="1" applyNumberFormat="1">
      <alignment horizontal="center" shrinkToFit="0" vertical="center" wrapText="1"/>
    </xf>
    <xf borderId="4" fillId="6" fontId="52" numFmtId="0" xfId="0" applyAlignment="1" applyBorder="1" applyFont="1">
      <alignment horizontal="center" shrinkToFit="0" vertical="center" wrapText="1"/>
    </xf>
    <xf borderId="4" fillId="6" fontId="53" numFmtId="0" xfId="0" applyAlignment="1" applyBorder="1" applyFont="1">
      <alignment horizontal="center" readingOrder="0" shrinkToFit="0" vertical="center" wrapText="1"/>
    </xf>
    <xf borderId="4" fillId="6" fontId="54" numFmtId="0" xfId="0" applyAlignment="1" applyBorder="1" applyFont="1">
      <alignment horizontal="center" readingOrder="0" shrinkToFit="0" vertical="center" wrapText="1"/>
    </xf>
    <xf borderId="4" fillId="0" fontId="47" numFmtId="0" xfId="0" applyAlignment="1" applyBorder="1" applyFont="1">
      <alignment horizontal="center" readingOrder="0" shrinkToFit="0" vertical="center" wrapText="1"/>
    </xf>
    <xf borderId="4" fillId="0" fontId="55" numFmtId="0" xfId="0" applyAlignment="1" applyBorder="1" applyFont="1">
      <alignment horizontal="center" readingOrder="0" shrinkToFit="0" vertical="center" wrapText="1"/>
    </xf>
    <xf borderId="4" fillId="0" fontId="10" numFmtId="170" xfId="0" applyAlignment="1" applyBorder="1" applyFont="1" applyNumberFormat="1">
      <alignment horizontal="center" shrinkToFit="0" vertical="center" wrapText="1"/>
    </xf>
    <xf borderId="4" fillId="0" fontId="10" numFmtId="166" xfId="0" applyAlignment="1" applyBorder="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alabella.com.co/falabella-co/product/148453855/Caja-E-ATX-Thermaltake-H390-TG-ATGB-Black-(750W-80-Plus-Bronze)/148453856" TargetMode="External"/><Relationship Id="rId2" Type="http://schemas.openxmlformats.org/officeDocument/2006/relationships/hyperlink" Target="https://www.pcware.com.co/xpg-starker-atx-1-fan-cooler-argb-vidrio-templado-x1-1-fan-cooler-standard-fuente-de-poder-xpg-probe-600-watts-certificada-80-plus-bronze-negro-by-adata" TargetMode="External"/><Relationship Id="rId3" Type="http://schemas.openxmlformats.org/officeDocument/2006/relationships/hyperlink" Target="https://articulo.mercadolibre.com.co/MCO-2611582070-nzxt-h510-elite-torre-atx-blancanegra-cristal-doble-_JM?matt_tool=19390127&amp;utm_source=chatgpt.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mercadolibre.com.co/monitor-lg-22mr410b-2145-va-full-hd-amd-freesync-100hz/up/MCOU2407541747?pdp_filters=item_id%3AMCO1415235253" TargetMode="External"/><Relationship Id="rId2" Type="http://schemas.openxmlformats.org/officeDocument/2006/relationships/hyperlink" Target="https://www.alkosto.com/monitor-lg-24-pulgadas-24u411a-fhd-plano-negro/p/8806096553190?utm_source=chatgpt.com" TargetMode="External"/><Relationship Id="rId3" Type="http://schemas.openxmlformats.org/officeDocument/2006/relationships/hyperlink" Target="https://www.falabella.com.co/falabella-co/product/148209435/Monitor-LG-24-Fhd-120ghz-24U411A-B-Negro/148209436"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rticulo.mercadolibre.com.co/MCO-1592061277-ssd-kingston-nv3-1tb-m2-2280-nvme-pcie-40-gen-4x4-6000mbs-_JM?matt_tool=19390127&amp;utm_source=chatgpt.com&amp;search_layout=stack&amp;type=product&amp;tracking_id=aa8e5d63-5d99-467d-8939-e0e1b492ed9b" TargetMode="External"/><Relationship Id="rId2" Type="http://schemas.openxmlformats.org/officeDocument/2006/relationships/hyperlink" Target="https://www.alkosto.com/disco-estado-solido-externo-adata-sd810-1tb/p/4711085945754" TargetMode="External"/><Relationship Id="rId3" Type="http://schemas.openxmlformats.org/officeDocument/2006/relationships/hyperlink" Target="https://www.falabella.com.co/falabella-co/product/144581511/Disco-Solido-Sandisk-Extreme-SSD-V2-1TB-Portable-1050MBs/144581512?utm_source=chatgpt.com"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mercadolibre.com.co/disco-duro-interno-western-digital-wd10ezex-1tb-plateado/p/MCO20953266" TargetMode="External"/><Relationship Id="rId2" Type="http://schemas.openxmlformats.org/officeDocument/2006/relationships/hyperlink" Target="https://www.falabella.com.co/falabella-co/product/140457938/Disco-duro-SEAGATE-1TB-interno-BARRACUDA/140457939" TargetMode="External"/><Relationship Id="rId3" Type="http://schemas.openxmlformats.org/officeDocument/2006/relationships/hyperlink" Target="https://www.alkosto.com/disco-duro-adata-hv300-2tb/p/4713218465016"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mercadolibre.com.co/servidor-dell-t160-poweredge-ram-16gb-2-tb/p/MCO48019875?pdp_filters=item_id%3AMCO2848485534" TargetMode="External"/><Relationship Id="rId2" Type="http://schemas.openxmlformats.org/officeDocument/2006/relationships/hyperlink" Target="https://distrimak.co/productos/servidor-lenovo-thinksistem-st45-v3-ram-16gb-10-tb-nfp7h/" TargetMode="External"/><Relationship Id="rId3" Type="http://schemas.openxmlformats.org/officeDocument/2006/relationships/hyperlink" Target="https://www.jumbocolombia.com/servidor-dell-poweredge-t140-intel-xeon-16gb-2tb-dvd-20084147/p?idsku=20000079&amp;gad_source=1&amp;gad_campaignid=17861667106&amp;gbraid=0AAAAADlRvS93EMr7T9ku70-zvyYMFmz2f&amp;gclid=Cj0KCQiAi9rJBhCYARIsALyPDtsJDiIKUPr0Xj0DI59o8P37BbtvsqMRm6_UpZHRiX44ylqJ_mWVBBEaAtOEEALw_wcB"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falabella.com.co/falabella-co/product/142353465/Memoria-RAM-ADATA-8Gb-DDR4-3200-portatil/142353466?utm_source=chatgpt.com" TargetMode="External"/><Relationship Id="rId2" Type="http://schemas.openxmlformats.org/officeDocument/2006/relationships/hyperlink" Target="https://www.mercadolibre.com.co/memoria-ram-de-8-gb-adata-premier-ddr4-u-dimm-de-3200-mhz-para-pc/p/MCO19938775?pdp_filters=item_id%3AMCO2208918320" TargetMode="External"/><Relationship Id="rId3" Type="http://schemas.openxmlformats.org/officeDocument/2006/relationships/hyperlink" Target="https://articulo.mercadolibre.com.co/MCO-839630378-memoria-ram-samsung-8gb-ddr4-3200-portatil-laptop-inmediata-_JM"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mercadolibre.com.co/teclado-inalambrico-bluetooth-logitech-k250-negro/p/MCO54630038?pdp_filters=item_id%3AMCO3153000298" TargetMode="External"/><Relationship Id="rId2" Type="http://schemas.openxmlformats.org/officeDocument/2006/relationships/hyperlink" Target="https://www.alkosto.com/teclado-hp-alambrico-150-basic-negro/p/196548244195" TargetMode="External"/><Relationship Id="rId3" Type="http://schemas.openxmlformats.org/officeDocument/2006/relationships/hyperlink" Target="https://www.falabella.com.co/falabella-co/product/129554199/TECLADO-INALAMBRICO-MAXELL-WKB-20-SLIM-24GHz/129554200"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articulo.mercadolibre.com.co/MCO-1540795711-mouse-recargable-silencioso-inalambrico-ergonomico-negro-_JM" TargetMode="External"/><Relationship Id="rId2" Type="http://schemas.openxmlformats.org/officeDocument/2006/relationships/hyperlink" Target="https://www.alkosto.com/mouse-lenovo-alambrico-gaming-m210-negro/p/195892091356?srsltid=AfmBOoqD54-SQKF205LvPgVSM0Z5EzAlA5o5-urA8F4ShRQc9LMJPngTW9FDMVuEjmQqA7VqCEOgNUNA_RsIVY5Wx0gR5DnHe9ASAQ8M8YRAxeVn3Acejqh0tgN8ueo29TNxAiKe2N0G5LNR214HtNh2oR0UTEyycAdXVxbeQUTvX44aLr_mRDw18-JBsM.3bwOiESxFGE2avoolxd1NMyRwKpAc48tTWFOHEkuV94&amp;dib_tag=se&amp;hvadid=673177383265&amp;hvdev=c&amp;hvlocphy=1003659&amp;hvnetw=g&amp;hvqmt=b&amp;hvrand=4444607748343888028&amp;hvtargid=kwd-17170676&amp;hydadcr=750_1015168472&amp;keywords=mouse%2Bfor%2Blaptop&amp;qid=1717016842&amp;sr=8-1-spons&amp;sp_csd=d2lkZ2V0TmFtZT1zcF9hdGY&amp;th=1" TargetMode="External"/><Relationship Id="rId3" Type="http://schemas.openxmlformats.org/officeDocument/2006/relationships/hyperlink" Target="https://www.falabella.com.co/falabella-co/product/122893598/Mouse-Gamer-Inalambrico-7-Botones-8000-DPI-RGB-USB-Xtrike-Me-GW-611/122893599?kid=shopp254fa&amp;gclsrc=aw.ds&amp;gad_source=1&amp;gad_campaignid=21634415508&amp;gbraid=0AAAAADtuoyRKlGLVZWiZV4-BMIX_d_Rmn&amp;gclid=Cj0KCQiAi9rJBhCYARIsALyPDtvudCCTTcynGzBiRWCE1SQtT9FQVmnfPfnGVg6h5aAhP-TYAHO9UbIaAlOEEALw_wcB"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amazon.com/-/es/Actualizaci%C3%B3n-Windows-desde-descarga-digital/dp/B09WCTTXQ6" TargetMode="External"/><Relationship Id="rId2" Type="http://schemas.openxmlformats.org/officeDocument/2006/relationships/hyperlink" Target="https://systorecolombia.com/windows/942-microsoft-windows-11-profesional-ggk-kit-de-legalizacion-64-bits-oem-4yr-00229.html" TargetMode="External"/><Relationship Id="rId3" Type="http://schemas.openxmlformats.org/officeDocument/2006/relationships/hyperlink" Target="https://www.falabella.com.co/falabella-co/product/129798120/Licencia-Fisica-Windows-11-Pro-64bit-Espanol-Latino-Dvd/129798121?utm_source=chatgpt.com"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microsoft.com/es-cl/d/suscripcion-a-visual-studio-enterprise/dg7gmgf0dst4" TargetMode="External"/><Relationship Id="rId2" Type="http://schemas.openxmlformats.org/officeDocument/2006/relationships/hyperlink" Target="https://3clics.co/index.php/es/otros-softwares/editor-de-codigo/licencia-visual-studio-2019-detail" TargetMode="External"/><Relationship Id="rId3" Type="http://schemas.openxmlformats.org/officeDocument/2006/relationships/hyperlink" Target="https://visualstudio.microsoft.com/es/vs/pricing/"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latinkeys.com/producto/sql-server-2022-standard-per-core-64bits/" TargetMode="External"/><Relationship Id="rId2" Type="http://schemas.openxmlformats.org/officeDocument/2006/relationships/hyperlink" Target="https://cyberlicense.com.co/productos/sql-server-2022-standard/?utm_source=chatgpt.com" TargetMode="External"/><Relationship Id="rId3" Type="http://schemas.openxmlformats.org/officeDocument/2006/relationships/hyperlink" Target="https://systorecolombia.com/server/252-licencia-sql-server-standard-2019-perpetua-dg7gmgf0fkx9.html"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magohost.com/colombia/comprar-web-hosting.php?utm_source=chatgpt.com" TargetMode="External"/><Relationship Id="rId2" Type="http://schemas.openxmlformats.org/officeDocument/2006/relationships/hyperlink" Target="https://www.hostinger.com/co/recommended/cybernews-hp?utm_medium=affiliate&amp;utm_source=aff187301&amp;utm_campaign=475&amp;session=102ac44c8ef79dff31c857d2206930" TargetMode="External"/><Relationship Id="rId3" Type="http://schemas.openxmlformats.org/officeDocument/2006/relationships/hyperlink" Target="https://www.hostgator.co/web-hosting-quiero-mi-web?idev_id=7442&amp;idev_tid1=19add012ea50-e9df27c6da1&amp;idev_tid2=hosting&amp;utm_source=affiliate&amp;utm_medium=referral&amp;utm_campaign=7442&amp;idev_hash=NzQ0Mi0tMC0wLS0tMTlhZGQwMTJlYTUwLWU5ZGYyN2M2ZGExLWhvc3RpbmctLS1odHRwczovL2FmaWxpYWRvc2hvc3RnYXRvci5jb20vaWRldmFmZmlsaWF0ZTIucGhwL2IxTEZxOXJjeA=="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netlify.com/" TargetMode="External"/><Relationship Id="rId2" Type="http://schemas.openxmlformats.org/officeDocument/2006/relationships/hyperlink" Target="https://vercel.com/" TargetMode="External"/><Relationship Id="rId3" Type="http://schemas.openxmlformats.org/officeDocument/2006/relationships/hyperlink" Target="https://pages.cloudflare.com/"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render.com/" TargetMode="External"/><Relationship Id="rId2" Type="http://schemas.openxmlformats.org/officeDocument/2006/relationships/hyperlink" Target="https://railway.app/" TargetMode="External"/><Relationship Id="rId3" Type="http://schemas.openxmlformats.org/officeDocument/2006/relationships/hyperlink" Target="https://www.heroku.com/"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1" Type="http://schemas.openxmlformats.org/officeDocument/2006/relationships/hyperlink" Target="https://latinkeys.com/producto/sql-server-2022-standard-per-core-64bits/" TargetMode="External"/><Relationship Id="rId10" Type="http://schemas.openxmlformats.org/officeDocument/2006/relationships/hyperlink" Target="https://www.microsoft.com/es-cl/d/suscripcion-a-visual-studio-enterprise/dg7gmgf0dst4" TargetMode="External"/><Relationship Id="rId13" Type="http://schemas.openxmlformats.org/officeDocument/2006/relationships/hyperlink" Target="https://vercel.com/" TargetMode="External"/><Relationship Id="rId12" Type="http://schemas.openxmlformats.org/officeDocument/2006/relationships/hyperlink" Target="https://www.hostinger.com/co/recommended/cybernews-hp?utm_medium=affiliate&amp;utm_source=aff187301&amp;utm_campaign=475&amp;session=102ac44c8ef79dff31c857d2206930" TargetMode="External"/><Relationship Id="rId1" Type="http://schemas.openxmlformats.org/officeDocument/2006/relationships/hyperlink" Target="https://www.pcware.com.co/xpg-starker-atx-1-fan-cooler-argb-vidrio-templado-x1-1-fan-cooler-standard-fuente-de-poder-xpg-probe-600-watts-certificada-80-plus-bronze-negro-by-adata" TargetMode="External"/><Relationship Id="rId2" Type="http://schemas.openxmlformats.org/officeDocument/2006/relationships/hyperlink" Target="https://www.mercadolibre.com.co/monitor-lg-22mr410b-2145-va-full-hd-amd-freesync-100hz/up/MCOU2407541747?pdp_filters=item_id%3AMCO1415235253" TargetMode="External"/><Relationship Id="rId3" Type="http://schemas.openxmlformats.org/officeDocument/2006/relationships/hyperlink" Target="https://articulo.mercadolibre.com.co/MCO-1592061277-ssd-kingston-nv3-1tb-m2-2280-nvme-pcie-40-gen-4x4-6000mbs-_JM?matt_tool=19390127&amp;utm_source=chatgpt.com&amp;search_layout=stack&amp;type=product&amp;tracking_id=aa8e5d63-5d99-467d-8939-e0e1b492ed9b" TargetMode="External"/><Relationship Id="rId4" Type="http://schemas.openxmlformats.org/officeDocument/2006/relationships/hyperlink" Target="https://www.falabella.com.co/falabella-co/product/140457938/Disco-duro-SEAGATE-1TB-interno-BARRACUDA/140457939" TargetMode="External"/><Relationship Id="rId9" Type="http://schemas.openxmlformats.org/officeDocument/2006/relationships/hyperlink" Target="https://www.amazon.com/-/es/Actualizaci%C3%B3n-Windows-desde-descarga-digital/dp/B09WCTTXQ6" TargetMode="External"/><Relationship Id="rId15" Type="http://schemas.openxmlformats.org/officeDocument/2006/relationships/drawing" Target="../drawings/drawing16.xml"/><Relationship Id="rId14" Type="http://schemas.openxmlformats.org/officeDocument/2006/relationships/hyperlink" Target="https://render.com/" TargetMode="External"/><Relationship Id="rId5" Type="http://schemas.openxmlformats.org/officeDocument/2006/relationships/hyperlink" Target="https://www.jumbocolombia.com/servidor-dell-poweredge-t140-intel-xeon-16gb-2tb-dvd-20084147/p?idsku=20000079&amp;gad_source=1&amp;gad_campaignid=17861667106&amp;gbraid=0AAAAADlRvS93EMr7T9ku70-zvyYMFmz2f&amp;gclid=Cj0KCQiAi9rJBhCYARIsALyPDtsJDiIKUPr0Xj0DI59o8P37BbtvsqMRm6_UpZHRiX44ylqJ_mWVBBEaAtOEEALw_wcB" TargetMode="External"/><Relationship Id="rId6" Type="http://schemas.openxmlformats.org/officeDocument/2006/relationships/hyperlink" Target="https://www.mercadolibre.com.co/memoria-ram-de-8-gb-adata-premier-ddr4-u-dimm-de-3200-mhz-para-pc/p/MCO19938775?pdp_filters=item_id%3AMCO2208918320" TargetMode="External"/><Relationship Id="rId7" Type="http://schemas.openxmlformats.org/officeDocument/2006/relationships/hyperlink" Target="https://www.alkosto.com/teclado-hp-alambrico-150-basic-negro/p/196548244195" TargetMode="External"/><Relationship Id="rId8" Type="http://schemas.openxmlformats.org/officeDocument/2006/relationships/hyperlink" Target="https://www.alkosto.com/mouse-lenovo-alambrico-gaming-m210-negro/p/195892091356?srsltid=AfmBOoqD54-SQKF205LvPgVSM0Z5EzAlA5o5-urA8F4ShRQc9LMJPngTW9FDMVuEjmQqA7VqCEOgNUNA_RsIVY5Wx0gR5DnHe9ASAQ8M8YRAxeVn3Acejqh0tgN8ueo29TNxAiKe2N0G5LNR214HtNh2oR0UTEyycAdXVxbeQUTvX44aLr_mRDw18-JBsM.3bwOiESxFGE2avoolxd1NMyRwKpAc48tTWFOHEkuV94&amp;dib_tag=se&amp;hvadid=673177383265&amp;hvdev=c&amp;hvlocphy=1003659&amp;hvnetw=g&amp;hvqmt=b&amp;hvrand=4444607748343888028&amp;hvtargid=kwd-17170676&amp;hydadcr=750_1015168472&amp;keywords=mouse%2Bfor%2Blaptop&amp;qid=1717016842&amp;sr=8-1-spons&amp;sp_csd=d2lkZ2V0TmFtZT1zcF9hdGY&amp;th=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7" t="s">
        <v>3</v>
      </c>
      <c r="C7" s="7" t="s">
        <v>4</v>
      </c>
      <c r="D7" s="7" t="s">
        <v>5</v>
      </c>
      <c r="E7" s="7" t="s">
        <v>6</v>
      </c>
      <c r="F7" s="8" t="s">
        <v>7</v>
      </c>
      <c r="G7" s="9" t="s">
        <v>8</v>
      </c>
      <c r="H7" s="7" t="s">
        <v>9</v>
      </c>
      <c r="I7" s="7" t="s">
        <v>10</v>
      </c>
      <c r="J7" s="7" t="s">
        <v>11</v>
      </c>
      <c r="K7" s="10"/>
      <c r="L7" s="10"/>
      <c r="M7" s="10"/>
      <c r="N7" s="10"/>
      <c r="O7" s="10"/>
      <c r="P7" s="10"/>
      <c r="Q7" s="10"/>
      <c r="R7" s="10"/>
      <c r="S7" s="10"/>
      <c r="T7" s="10"/>
      <c r="U7" s="10"/>
      <c r="V7" s="10"/>
      <c r="W7" s="10"/>
      <c r="X7" s="10"/>
      <c r="Y7" s="10"/>
      <c r="Z7" s="10"/>
    </row>
    <row r="8" ht="50.25" customHeight="1">
      <c r="A8" s="11" t="s">
        <v>12</v>
      </c>
      <c r="B8" s="12" t="s">
        <v>13</v>
      </c>
      <c r="C8" s="13" t="s">
        <v>14</v>
      </c>
      <c r="D8" s="14" t="s">
        <v>15</v>
      </c>
      <c r="E8" s="15">
        <v>799000.0</v>
      </c>
      <c r="F8" s="16">
        <f t="shared" ref="F8:F10" si="1"> E8 * 1.19</f>
        <v>950810</v>
      </c>
      <c r="G8" s="17">
        <f t="shared" ref="G8:G10" si="2">(E8+F8)/3900</f>
        <v>448.6692308</v>
      </c>
      <c r="H8" s="18">
        <f t="shared" ref="H8:H10" si="3">G8*3900</f>
        <v>1749810</v>
      </c>
      <c r="I8" s="19" t="s">
        <v>16</v>
      </c>
      <c r="J8" s="20" t="s">
        <v>17</v>
      </c>
    </row>
    <row r="9" ht="50.25" customHeight="1">
      <c r="A9" s="11" t="s">
        <v>18</v>
      </c>
      <c r="B9" s="21" t="s">
        <v>19</v>
      </c>
      <c r="C9" s="13" t="s">
        <v>20</v>
      </c>
      <c r="D9" s="22" t="s">
        <v>21</v>
      </c>
      <c r="E9" s="15">
        <v>589990.0</v>
      </c>
      <c r="F9" s="16">
        <f t="shared" si="1"/>
        <v>702088.1</v>
      </c>
      <c r="G9" s="17">
        <f t="shared" si="2"/>
        <v>331.3020769</v>
      </c>
      <c r="H9" s="18">
        <f t="shared" si="3"/>
        <v>1292078.1</v>
      </c>
      <c r="I9" s="19" t="s">
        <v>16</v>
      </c>
      <c r="J9" s="23" t="s">
        <v>22</v>
      </c>
    </row>
    <row r="10" ht="50.25" customHeight="1">
      <c r="A10" s="11" t="s">
        <v>23</v>
      </c>
      <c r="B10" s="12" t="s">
        <v>24</v>
      </c>
      <c r="C10" s="13" t="s">
        <v>25</v>
      </c>
      <c r="D10" s="24" t="s">
        <v>26</v>
      </c>
      <c r="E10" s="15">
        <v>967142.0</v>
      </c>
      <c r="F10" s="16">
        <f t="shared" si="1"/>
        <v>1150898.98</v>
      </c>
      <c r="G10" s="17">
        <f t="shared" si="2"/>
        <v>543.0874308</v>
      </c>
      <c r="H10" s="18">
        <f t="shared" si="3"/>
        <v>2118040.98</v>
      </c>
      <c r="I10" s="19" t="s">
        <v>16</v>
      </c>
      <c r="J10" s="20" t="s">
        <v>27</v>
      </c>
    </row>
    <row r="11" ht="15.0" hidden="1" customHeight="1">
      <c r="A11" s="25"/>
      <c r="B11" s="26"/>
      <c r="C11" s="26"/>
      <c r="D11" s="26"/>
      <c r="E11" s="26"/>
      <c r="F11" s="26"/>
      <c r="G11" s="26"/>
      <c r="H11" s="26"/>
      <c r="I11" s="26"/>
      <c r="J11" s="26"/>
    </row>
    <row r="12" ht="12.75" customHeight="1"/>
    <row r="13" ht="138.75" customHeight="1">
      <c r="A13" s="27" t="s">
        <v>28</v>
      </c>
      <c r="B13" s="4"/>
      <c r="C13" s="4"/>
      <c r="D13" s="4"/>
      <c r="E13" s="4"/>
      <c r="F13" s="4"/>
      <c r="G13" s="4"/>
      <c r="H13" s="4"/>
      <c r="I13" s="4"/>
      <c r="J13" s="5"/>
    </row>
    <row r="14" ht="12.75" customHeight="1"/>
    <row r="15" ht="75.0" customHeight="1">
      <c r="A15" s="27" t="s">
        <v>29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29">
        <v>485.0</v>
      </c>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7" t="s">
        <v>30</v>
      </c>
      <c r="C7" s="7" t="s">
        <v>31</v>
      </c>
      <c r="D7" s="7" t="s">
        <v>32</v>
      </c>
      <c r="E7" s="7" t="s">
        <v>33</v>
      </c>
      <c r="F7" s="8" t="s">
        <v>34</v>
      </c>
      <c r="G7" s="30" t="s">
        <v>35</v>
      </c>
      <c r="H7" s="7" t="s">
        <v>9</v>
      </c>
      <c r="I7" s="7" t="s">
        <v>36</v>
      </c>
      <c r="J7" s="7" t="s">
        <v>37</v>
      </c>
      <c r="K7" s="10"/>
      <c r="L7" s="10"/>
      <c r="M7" s="10"/>
      <c r="N7" s="10"/>
      <c r="O7" s="10"/>
      <c r="P7" s="10"/>
      <c r="Q7" s="10"/>
      <c r="R7" s="10"/>
      <c r="S7" s="10"/>
      <c r="T7" s="10"/>
      <c r="U7" s="10"/>
      <c r="V7" s="10"/>
      <c r="W7" s="10"/>
      <c r="X7" s="10"/>
      <c r="Y7" s="10"/>
      <c r="Z7" s="10"/>
    </row>
    <row r="8" ht="75.0" customHeight="1">
      <c r="A8" s="7" t="s">
        <v>12</v>
      </c>
      <c r="B8" s="12" t="s">
        <v>38</v>
      </c>
      <c r="C8" s="31" t="s">
        <v>39</v>
      </c>
      <c r="D8" s="32" t="s">
        <v>40</v>
      </c>
      <c r="E8" s="33">
        <v>408000.0</v>
      </c>
      <c r="F8" s="34">
        <f t="shared" ref="F8:F10" si="1"> E8 * 1.19</f>
        <v>485520</v>
      </c>
      <c r="G8" s="35">
        <f t="shared" ref="G8:G10" si="2">(E8+F8)/3900</f>
        <v>229.1076923</v>
      </c>
      <c r="H8" s="36">
        <f t="shared" ref="H8:H10" si="3">G8*3900</f>
        <v>893520</v>
      </c>
      <c r="I8" s="12" t="s">
        <v>16</v>
      </c>
      <c r="J8" s="14" t="s">
        <v>41</v>
      </c>
    </row>
    <row r="9" ht="50.25" customHeight="1">
      <c r="A9" s="7" t="s">
        <v>18</v>
      </c>
      <c r="B9" s="12" t="s">
        <v>19</v>
      </c>
      <c r="C9" s="37" t="s">
        <v>42</v>
      </c>
      <c r="D9" s="38" t="s">
        <v>43</v>
      </c>
      <c r="E9" s="33">
        <v>899900.0</v>
      </c>
      <c r="F9" s="34">
        <f t="shared" si="1"/>
        <v>1070881</v>
      </c>
      <c r="G9" s="35">
        <f t="shared" si="2"/>
        <v>505.3284615</v>
      </c>
      <c r="H9" s="36">
        <f t="shared" si="3"/>
        <v>1970781</v>
      </c>
      <c r="I9" s="12" t="s">
        <v>16</v>
      </c>
      <c r="J9" s="39" t="s">
        <v>44</v>
      </c>
    </row>
    <row r="10" ht="50.25" customHeight="1">
      <c r="A10" s="7" t="s">
        <v>23</v>
      </c>
      <c r="B10" s="12" t="s">
        <v>45</v>
      </c>
      <c r="C10" s="13" t="s">
        <v>46</v>
      </c>
      <c r="D10" s="38" t="s">
        <v>47</v>
      </c>
      <c r="E10" s="33">
        <v>519900.0</v>
      </c>
      <c r="F10" s="40">
        <f t="shared" si="1"/>
        <v>618681</v>
      </c>
      <c r="G10" s="35">
        <f t="shared" si="2"/>
        <v>291.9438462</v>
      </c>
      <c r="H10" s="36">
        <f t="shared" si="3"/>
        <v>1138581</v>
      </c>
      <c r="I10" s="12" t="s">
        <v>16</v>
      </c>
      <c r="J10" s="41" t="s">
        <v>48</v>
      </c>
    </row>
    <row r="11" ht="15.0" hidden="1" customHeight="1">
      <c r="A11" s="25"/>
      <c r="B11" s="26"/>
      <c r="C11" s="26"/>
      <c r="D11" s="26"/>
      <c r="E11" s="26"/>
      <c r="F11" s="26"/>
      <c r="G11" s="26"/>
      <c r="H11" s="26"/>
      <c r="I11" s="26"/>
      <c r="J11" s="26"/>
    </row>
    <row r="12" ht="12.75" customHeight="1"/>
    <row r="13" ht="138.75" customHeight="1">
      <c r="A13" s="27" t="s">
        <v>49</v>
      </c>
      <c r="B13" s="4"/>
      <c r="C13" s="4"/>
      <c r="D13" s="4"/>
      <c r="E13" s="4"/>
      <c r="F13" s="4"/>
      <c r="G13" s="4"/>
      <c r="H13" s="4"/>
      <c r="I13" s="4"/>
      <c r="J13" s="5"/>
    </row>
    <row r="14" ht="12.75" customHeight="1"/>
    <row r="15" ht="75.0" customHeight="1">
      <c r="A15" s="27" t="s">
        <v>50</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location="origin%3Dshare%26sid%3Dshare%26wid%3DMCO1415235253" ref="C8"/>
    <hyperlink r:id="rId2" ref="C9"/>
    <hyperlink r:id="rId3" ref="C10"/>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42" t="s">
        <v>2</v>
      </c>
      <c r="B7" s="43" t="s">
        <v>51</v>
      </c>
      <c r="C7" s="43" t="s">
        <v>52</v>
      </c>
      <c r="D7" s="43" t="s">
        <v>53</v>
      </c>
      <c r="E7" s="43" t="s">
        <v>54</v>
      </c>
      <c r="F7" s="44" t="s">
        <v>55</v>
      </c>
      <c r="G7" s="45" t="s">
        <v>56</v>
      </c>
      <c r="H7" s="43" t="s">
        <v>9</v>
      </c>
      <c r="I7" s="43" t="s">
        <v>57</v>
      </c>
      <c r="J7" s="43" t="s">
        <v>58</v>
      </c>
      <c r="K7" s="10"/>
      <c r="L7" s="10"/>
      <c r="M7" s="10"/>
      <c r="N7" s="10"/>
      <c r="O7" s="10"/>
      <c r="P7" s="10"/>
      <c r="Q7" s="10"/>
      <c r="R7" s="10"/>
      <c r="S7" s="10"/>
      <c r="T7" s="10"/>
      <c r="U7" s="10"/>
      <c r="V7" s="10"/>
      <c r="W7" s="10"/>
      <c r="X7" s="10"/>
      <c r="Y7" s="10"/>
      <c r="Z7" s="10"/>
    </row>
    <row r="8" ht="50.25" customHeight="1">
      <c r="A8" s="46" t="s">
        <v>12</v>
      </c>
      <c r="B8" s="12" t="s">
        <v>59</v>
      </c>
      <c r="C8" s="13" t="s">
        <v>60</v>
      </c>
      <c r="D8" s="14" t="s">
        <v>61</v>
      </c>
      <c r="E8" s="33">
        <v>379900.0</v>
      </c>
      <c r="F8" s="40">
        <f t="shared" ref="F8:F10" si="1"> E8 * 1.19</f>
        <v>452081</v>
      </c>
      <c r="G8" s="35">
        <f t="shared" ref="G8:G10" si="2">(E8+F8)/3900</f>
        <v>213.3284615</v>
      </c>
      <c r="H8" s="36">
        <f t="shared" ref="H8:H10" si="3">G8*3900</f>
        <v>831981</v>
      </c>
      <c r="I8" s="12" t="s">
        <v>62</v>
      </c>
      <c r="J8" s="47" t="s">
        <v>63</v>
      </c>
    </row>
    <row r="9" ht="77.25" customHeight="1">
      <c r="A9" s="46" t="s">
        <v>18</v>
      </c>
      <c r="B9" s="48" t="s">
        <v>64</v>
      </c>
      <c r="C9" s="49" t="s">
        <v>65</v>
      </c>
      <c r="D9" s="38" t="s">
        <v>66</v>
      </c>
      <c r="E9" s="50">
        <v>479900.0</v>
      </c>
      <c r="F9" s="40">
        <f t="shared" si="1"/>
        <v>571081</v>
      </c>
      <c r="G9" s="35">
        <f t="shared" si="2"/>
        <v>269.4823077</v>
      </c>
      <c r="H9" s="36">
        <f t="shared" si="3"/>
        <v>1050981</v>
      </c>
      <c r="I9" s="12" t="s">
        <v>62</v>
      </c>
      <c r="J9" s="51" t="s">
        <v>67</v>
      </c>
    </row>
    <row r="10" ht="50.25" customHeight="1">
      <c r="A10" s="46" t="s">
        <v>23</v>
      </c>
      <c r="B10" s="52" t="s">
        <v>68</v>
      </c>
      <c r="C10" s="13" t="s">
        <v>69</v>
      </c>
      <c r="D10" s="53" t="s">
        <v>70</v>
      </c>
      <c r="E10" s="54">
        <v>536400.0</v>
      </c>
      <c r="F10" s="40">
        <f t="shared" si="1"/>
        <v>638316</v>
      </c>
      <c r="G10" s="35">
        <f t="shared" si="2"/>
        <v>301.2092308</v>
      </c>
      <c r="H10" s="36">
        <f t="shared" si="3"/>
        <v>1174716</v>
      </c>
      <c r="I10" s="12" t="s">
        <v>62</v>
      </c>
      <c r="J10" s="55" t="s">
        <v>71</v>
      </c>
    </row>
    <row r="11" ht="15.0" hidden="1" customHeight="1">
      <c r="A11" s="56"/>
      <c r="B11" s="57"/>
      <c r="C11" s="12">
        <v>3.00892144E9</v>
      </c>
      <c r="D11" s="12"/>
      <c r="E11" s="57"/>
      <c r="F11" s="58"/>
      <c r="G11" s="19"/>
      <c r="H11" s="19"/>
      <c r="I11" s="19"/>
      <c r="J11" s="19"/>
    </row>
    <row r="12" ht="12.75" customHeight="1"/>
    <row r="13" ht="138.75" customHeight="1">
      <c r="A13" s="27" t="s">
        <v>72</v>
      </c>
      <c r="B13" s="4"/>
      <c r="C13" s="4"/>
      <c r="D13" s="4"/>
      <c r="E13" s="4"/>
      <c r="F13" s="4"/>
      <c r="G13" s="4"/>
      <c r="H13" s="4"/>
      <c r="I13" s="4"/>
      <c r="J13" s="5"/>
    </row>
    <row r="14" ht="12.75" customHeight="1"/>
    <row r="15" ht="75.0" customHeight="1">
      <c r="A15" s="27" t="s">
        <v>73</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D2:H2"/>
    <mergeCell ref="A5:J5"/>
    <mergeCell ref="B10:B11"/>
    <mergeCell ref="E10:E11"/>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59" t="s">
        <v>74</v>
      </c>
      <c r="C7" s="59" t="s">
        <v>75</v>
      </c>
      <c r="D7" s="59" t="s">
        <v>76</v>
      </c>
      <c r="E7" s="59" t="s">
        <v>77</v>
      </c>
      <c r="F7" s="60" t="s">
        <v>78</v>
      </c>
      <c r="G7" s="61" t="s">
        <v>79</v>
      </c>
      <c r="H7" s="59" t="s">
        <v>9</v>
      </c>
      <c r="I7" s="59" t="s">
        <v>80</v>
      </c>
      <c r="J7" s="59" t="s">
        <v>81</v>
      </c>
      <c r="K7" s="10"/>
      <c r="L7" s="10"/>
      <c r="M7" s="10"/>
      <c r="N7" s="10"/>
      <c r="O7" s="10"/>
      <c r="P7" s="10"/>
      <c r="Q7" s="10"/>
      <c r="R7" s="10"/>
      <c r="S7" s="10"/>
      <c r="T7" s="10"/>
      <c r="U7" s="10"/>
      <c r="V7" s="10"/>
      <c r="W7" s="10"/>
      <c r="X7" s="10"/>
      <c r="Y7" s="10"/>
      <c r="Z7" s="10"/>
    </row>
    <row r="8" ht="50.25" customHeight="1">
      <c r="A8" s="62" t="s">
        <v>12</v>
      </c>
      <c r="B8" s="12" t="s">
        <v>38</v>
      </c>
      <c r="C8" s="13" t="s">
        <v>82</v>
      </c>
      <c r="D8" s="14" t="s">
        <v>83</v>
      </c>
      <c r="E8" s="63">
        <v>168900.0</v>
      </c>
      <c r="F8" s="64">
        <f t="shared" ref="F8:F10" si="1">E8*1.19</f>
        <v>200991</v>
      </c>
      <c r="G8" s="65">
        <f t="shared" ref="G8:G10" si="2">(E8+F8)/3900</f>
        <v>94.84384615</v>
      </c>
      <c r="H8" s="36">
        <f t="shared" ref="H8:H10" si="3">G8*3900</f>
        <v>369891</v>
      </c>
      <c r="I8" s="12" t="s">
        <v>62</v>
      </c>
      <c r="J8" s="66" t="s">
        <v>84</v>
      </c>
    </row>
    <row r="9" ht="50.25" customHeight="1">
      <c r="A9" s="62" t="s">
        <v>18</v>
      </c>
      <c r="B9" s="12" t="s">
        <v>85</v>
      </c>
      <c r="C9" s="49" t="s">
        <v>86</v>
      </c>
      <c r="D9" s="38" t="s">
        <v>87</v>
      </c>
      <c r="E9" s="67">
        <v>149900.0</v>
      </c>
      <c r="F9" s="64">
        <f t="shared" si="1"/>
        <v>178381</v>
      </c>
      <c r="G9" s="65">
        <f t="shared" si="2"/>
        <v>84.17461538</v>
      </c>
      <c r="H9" s="36">
        <f t="shared" si="3"/>
        <v>328281</v>
      </c>
      <c r="I9" s="12" t="s">
        <v>62</v>
      </c>
      <c r="J9" s="14" t="s">
        <v>88</v>
      </c>
    </row>
    <row r="10" ht="50.25" customHeight="1">
      <c r="A10" s="62" t="s">
        <v>23</v>
      </c>
      <c r="B10" s="68" t="s">
        <v>19</v>
      </c>
      <c r="C10" s="49" t="s">
        <v>89</v>
      </c>
      <c r="D10" s="68" t="s">
        <v>90</v>
      </c>
      <c r="E10" s="15">
        <v>439900.0</v>
      </c>
      <c r="F10" s="64">
        <f t="shared" si="1"/>
        <v>523481</v>
      </c>
      <c r="G10" s="65">
        <f t="shared" si="2"/>
        <v>247.0207692</v>
      </c>
      <c r="H10" s="36">
        <f t="shared" si="3"/>
        <v>963381</v>
      </c>
      <c r="I10" s="12" t="s">
        <v>62</v>
      </c>
      <c r="J10" s="68" t="s">
        <v>91</v>
      </c>
    </row>
    <row r="11" ht="15.0" hidden="1" customHeight="1">
      <c r="A11" s="25"/>
      <c r="B11" s="69"/>
      <c r="C11" s="69"/>
      <c r="D11" s="69"/>
      <c r="E11" s="69"/>
      <c r="F11" s="69"/>
      <c r="G11" s="69"/>
      <c r="H11" s="69"/>
      <c r="I11" s="69"/>
      <c r="J11" s="69"/>
    </row>
    <row r="12" ht="12.75" customHeight="1"/>
    <row r="13" ht="138.75" customHeight="1">
      <c r="A13" s="27" t="s">
        <v>92</v>
      </c>
      <c r="B13" s="4"/>
      <c r="C13" s="4"/>
      <c r="D13" s="4"/>
      <c r="E13" s="4"/>
      <c r="F13" s="4"/>
      <c r="G13" s="4"/>
      <c r="H13" s="4"/>
      <c r="I13" s="4"/>
      <c r="J13" s="5"/>
    </row>
    <row r="14" ht="12.75" customHeight="1"/>
    <row r="15" ht="75.0" customHeight="1">
      <c r="A15" s="27" t="s">
        <v>93</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location="polycard_client=search-nordic&amp;search_layout=stack&amp;position=1&amp;type=product&amp;tracking_id=f6a23257-2aaa-49d5-8d32-eb98f416c944&amp;wid=MCO1339638675&amp;sid=search" ref="C8"/>
    <hyperlink r:id="rId2" ref="C9"/>
    <hyperlink r:id="rId3" ref="C10"/>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70" t="s">
        <v>2</v>
      </c>
      <c r="B7" s="59" t="s">
        <v>94</v>
      </c>
      <c r="C7" s="59" t="s">
        <v>95</v>
      </c>
      <c r="D7" s="59" t="s">
        <v>96</v>
      </c>
      <c r="E7" s="59" t="s">
        <v>97</v>
      </c>
      <c r="F7" s="60" t="s">
        <v>98</v>
      </c>
      <c r="G7" s="71" t="s">
        <v>99</v>
      </c>
      <c r="H7" s="59" t="s">
        <v>9</v>
      </c>
      <c r="I7" s="59" t="s">
        <v>100</v>
      </c>
      <c r="J7" s="59" t="s">
        <v>101</v>
      </c>
      <c r="K7" s="10"/>
      <c r="L7" s="10"/>
      <c r="M7" s="10"/>
      <c r="N7" s="10"/>
      <c r="O7" s="10"/>
      <c r="P7" s="10"/>
      <c r="Q7" s="10"/>
      <c r="R7" s="10"/>
      <c r="S7" s="10"/>
      <c r="T7" s="10"/>
      <c r="U7" s="10"/>
      <c r="V7" s="10"/>
      <c r="W7" s="10"/>
      <c r="X7" s="10"/>
      <c r="Y7" s="10"/>
      <c r="Z7" s="10"/>
    </row>
    <row r="8" ht="50.25" customHeight="1">
      <c r="A8" s="72" t="s">
        <v>12</v>
      </c>
      <c r="B8" s="73" t="s">
        <v>102</v>
      </c>
      <c r="C8" s="74" t="s">
        <v>103</v>
      </c>
      <c r="D8" s="73" t="s">
        <v>104</v>
      </c>
      <c r="E8" s="75">
        <v>8828429.0</v>
      </c>
      <c r="F8" s="76">
        <f t="shared" ref="F8:F10" si="1">E8*1.19</f>
        <v>10505830.51</v>
      </c>
      <c r="G8" s="77">
        <f t="shared" ref="G8:G10" si="2">(F8+E8)/3900</f>
        <v>4957.502438</v>
      </c>
      <c r="H8" s="78">
        <f t="shared" ref="H8:H10" si="3">G8*3900</f>
        <v>19334259.51</v>
      </c>
      <c r="I8" s="79" t="s">
        <v>62</v>
      </c>
      <c r="J8" s="80" t="s">
        <v>105</v>
      </c>
    </row>
    <row r="9" ht="50.25" customHeight="1">
      <c r="A9" s="72" t="s">
        <v>18</v>
      </c>
      <c r="B9" s="81" t="s">
        <v>106</v>
      </c>
      <c r="C9" s="74" t="s">
        <v>107</v>
      </c>
      <c r="D9" s="82" t="s">
        <v>108</v>
      </c>
      <c r="E9" s="83">
        <v>7669870.0</v>
      </c>
      <c r="F9" s="76">
        <f t="shared" si="1"/>
        <v>9127145.3</v>
      </c>
      <c r="G9" s="77">
        <f t="shared" si="2"/>
        <v>4306.927</v>
      </c>
      <c r="H9" s="78">
        <f t="shared" si="3"/>
        <v>16797015.3</v>
      </c>
      <c r="I9" s="79" t="s">
        <v>62</v>
      </c>
      <c r="J9" s="82" t="s">
        <v>109</v>
      </c>
    </row>
    <row r="10" ht="50.25" customHeight="1">
      <c r="A10" s="72" t="s">
        <v>23</v>
      </c>
      <c r="B10" s="73" t="s">
        <v>110</v>
      </c>
      <c r="C10" s="74" t="s">
        <v>111</v>
      </c>
      <c r="D10" s="82" t="s">
        <v>112</v>
      </c>
      <c r="E10" s="83">
        <v>6599000.0</v>
      </c>
      <c r="F10" s="76">
        <f t="shared" si="1"/>
        <v>7852810</v>
      </c>
      <c r="G10" s="77">
        <f t="shared" si="2"/>
        <v>3705.592308</v>
      </c>
      <c r="H10" s="78">
        <f t="shared" si="3"/>
        <v>14451810</v>
      </c>
      <c r="I10" s="79" t="s">
        <v>62</v>
      </c>
      <c r="J10" s="73" t="s">
        <v>113</v>
      </c>
    </row>
    <row r="11" ht="15.0" hidden="1" customHeight="1">
      <c r="A11" s="25"/>
      <c r="B11" s="69"/>
      <c r="C11" s="69"/>
      <c r="D11" s="69"/>
      <c r="E11" s="69"/>
      <c r="F11" s="69"/>
      <c r="G11" s="69"/>
      <c r="H11" s="69"/>
      <c r="I11" s="69"/>
      <c r="J11" s="69"/>
    </row>
    <row r="12" ht="12.75" customHeight="1"/>
    <row r="13" ht="138.75" customHeight="1">
      <c r="A13" s="27" t="s">
        <v>114</v>
      </c>
      <c r="B13" s="4"/>
      <c r="C13" s="4"/>
      <c r="D13" s="4"/>
      <c r="E13" s="4"/>
      <c r="F13" s="4"/>
      <c r="G13" s="4"/>
      <c r="H13" s="4"/>
      <c r="I13" s="4"/>
      <c r="J13" s="5"/>
    </row>
    <row r="14" ht="12.75" customHeight="1"/>
    <row r="15" ht="75.0" customHeight="1">
      <c r="A15" s="27" t="s">
        <v>115</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location="origin%3Dshare%26sid%3Dshare%26wid%3DMCO2848485534" ref="C8"/>
    <hyperlink r:id="rId2" ref="C9"/>
    <hyperlink r:id="rId3" ref="C10"/>
  </hyperlinks>
  <printOptions/>
  <pageMargins bottom="0.75" footer="0.0" header="0.0" left="0.7" right="0.7" top="0.75"/>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7" t="s">
        <v>116</v>
      </c>
      <c r="C7" s="7" t="s">
        <v>117</v>
      </c>
      <c r="D7" s="7" t="s">
        <v>118</v>
      </c>
      <c r="E7" s="7" t="s">
        <v>119</v>
      </c>
      <c r="F7" s="8" t="s">
        <v>120</v>
      </c>
      <c r="G7" s="30" t="s">
        <v>121</v>
      </c>
      <c r="H7" s="7" t="s">
        <v>9</v>
      </c>
      <c r="I7" s="7" t="s">
        <v>122</v>
      </c>
      <c r="J7" s="7" t="s">
        <v>123</v>
      </c>
      <c r="K7" s="10"/>
      <c r="L7" s="10"/>
      <c r="M7" s="10"/>
      <c r="N7" s="10"/>
      <c r="O7" s="10"/>
      <c r="P7" s="10"/>
      <c r="Q7" s="10"/>
      <c r="R7" s="10"/>
      <c r="S7" s="10"/>
      <c r="T7" s="10"/>
      <c r="U7" s="10"/>
      <c r="V7" s="10"/>
      <c r="W7" s="10"/>
      <c r="X7" s="10"/>
      <c r="Y7" s="10"/>
      <c r="Z7" s="10"/>
    </row>
    <row r="8" ht="50.25" customHeight="1">
      <c r="A8" s="62" t="s">
        <v>12</v>
      </c>
      <c r="B8" s="68" t="s">
        <v>85</v>
      </c>
      <c r="C8" s="84" t="s">
        <v>124</v>
      </c>
      <c r="D8" s="53" t="s">
        <v>125</v>
      </c>
      <c r="E8" s="85">
        <v>145000.0</v>
      </c>
      <c r="F8" s="64">
        <f t="shared" ref="F8:F10" si="1">E8*1.19</f>
        <v>172550</v>
      </c>
      <c r="G8" s="86">
        <f t="shared" ref="G8:G10" si="2">(F8+E8)/3900</f>
        <v>81.42307692</v>
      </c>
      <c r="H8" s="36">
        <f t="shared" ref="H8:H10" si="3">G8*3900</f>
        <v>317550</v>
      </c>
      <c r="I8" s="12" t="s">
        <v>16</v>
      </c>
      <c r="J8" s="14" t="s">
        <v>126</v>
      </c>
    </row>
    <row r="9" ht="50.25" customHeight="1">
      <c r="A9" s="62" t="s">
        <v>18</v>
      </c>
      <c r="B9" s="21" t="s">
        <v>102</v>
      </c>
      <c r="C9" s="84" t="s">
        <v>127</v>
      </c>
      <c r="D9" s="32" t="s">
        <v>128</v>
      </c>
      <c r="E9" s="87">
        <v>249000.0</v>
      </c>
      <c r="F9" s="64">
        <f t="shared" si="1"/>
        <v>296310</v>
      </c>
      <c r="G9" s="86">
        <f t="shared" si="2"/>
        <v>139.8230769</v>
      </c>
      <c r="H9" s="36">
        <f t="shared" si="3"/>
        <v>545310</v>
      </c>
      <c r="I9" s="12" t="s">
        <v>16</v>
      </c>
      <c r="J9" s="14" t="s">
        <v>129</v>
      </c>
    </row>
    <row r="10" ht="50.25" customHeight="1">
      <c r="A10" s="62" t="s">
        <v>23</v>
      </c>
      <c r="B10" s="68" t="s">
        <v>102</v>
      </c>
      <c r="C10" s="84" t="s">
        <v>130</v>
      </c>
      <c r="D10" s="32" t="s">
        <v>131</v>
      </c>
      <c r="E10" s="87">
        <v>175000.0</v>
      </c>
      <c r="F10" s="64">
        <f t="shared" si="1"/>
        <v>208250</v>
      </c>
      <c r="G10" s="86">
        <f t="shared" si="2"/>
        <v>98.26923077</v>
      </c>
      <c r="H10" s="36">
        <f t="shared" si="3"/>
        <v>383250</v>
      </c>
      <c r="I10" s="12" t="s">
        <v>16</v>
      </c>
      <c r="J10" s="88" t="s">
        <v>132</v>
      </c>
    </row>
    <row r="11" ht="15.0" hidden="1" customHeight="1">
      <c r="A11" s="25"/>
      <c r="B11" s="69"/>
      <c r="C11" s="69"/>
      <c r="D11" s="69"/>
      <c r="E11" s="69"/>
      <c r="F11" s="69"/>
      <c r="G11" s="69"/>
      <c r="H11" s="69"/>
      <c r="I11" s="69"/>
      <c r="J11" s="69"/>
    </row>
    <row r="12" ht="12.75" customHeight="1"/>
    <row r="13" ht="138.75" customHeight="1">
      <c r="A13" s="27" t="s">
        <v>133</v>
      </c>
      <c r="B13" s="4"/>
      <c r="C13" s="4"/>
      <c r="D13" s="4"/>
      <c r="E13" s="4"/>
      <c r="F13" s="4"/>
      <c r="G13" s="4"/>
      <c r="H13" s="4"/>
      <c r="I13" s="4"/>
      <c r="J13" s="5"/>
    </row>
    <row r="14" ht="12.75" customHeight="1"/>
    <row r="15" ht="75.0" customHeight="1">
      <c r="A15" s="27" t="s">
        <v>134</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location="origin%3Dshare%26sid%3Dshare%26wid%3DMCO2208918320" ref="C9"/>
    <hyperlink r:id="rId3" location="origin%3Dshare%26sid%3Dshare" ref="C10"/>
  </hyperlinks>
  <printOptions/>
  <pageMargins bottom="0.75" footer="0.0" header="0.0" left="0.7" right="0.7" top="0.75"/>
  <pageSetup orientation="landscape"/>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89">
        <v>0.0</v>
      </c>
      <c r="B5" s="4"/>
      <c r="C5" s="4"/>
      <c r="D5" s="4"/>
      <c r="E5" s="4"/>
      <c r="F5" s="4"/>
      <c r="G5" s="4"/>
      <c r="H5" s="4"/>
      <c r="I5" s="4"/>
      <c r="J5" s="5"/>
    </row>
    <row r="6" ht="15.75" customHeight="1"/>
    <row r="7" ht="75.75" customHeight="1">
      <c r="A7" s="70" t="s">
        <v>2</v>
      </c>
      <c r="B7" s="59" t="s">
        <v>135</v>
      </c>
      <c r="C7" s="59" t="s">
        <v>136</v>
      </c>
      <c r="D7" s="59" t="s">
        <v>137</v>
      </c>
      <c r="E7" s="59" t="s">
        <v>138</v>
      </c>
      <c r="F7" s="60" t="s">
        <v>139</v>
      </c>
      <c r="G7" s="90" t="s">
        <v>140</v>
      </c>
      <c r="H7" s="59" t="s">
        <v>9</v>
      </c>
      <c r="I7" s="59" t="s">
        <v>141</v>
      </c>
      <c r="J7" s="59" t="s">
        <v>142</v>
      </c>
      <c r="K7" s="10"/>
      <c r="L7" s="10"/>
      <c r="M7" s="10"/>
      <c r="N7" s="10"/>
      <c r="O7" s="10"/>
      <c r="P7" s="10"/>
      <c r="Q7" s="10"/>
      <c r="R7" s="10"/>
      <c r="S7" s="10"/>
      <c r="T7" s="10"/>
      <c r="U7" s="10"/>
      <c r="V7" s="10"/>
      <c r="W7" s="10"/>
      <c r="X7" s="10"/>
      <c r="Y7" s="10"/>
      <c r="Z7" s="10"/>
    </row>
    <row r="8" ht="50.25" customHeight="1">
      <c r="A8" s="72" t="s">
        <v>12</v>
      </c>
      <c r="B8" s="73" t="s">
        <v>102</v>
      </c>
      <c r="C8" s="74" t="s">
        <v>143</v>
      </c>
      <c r="D8" s="91" t="s">
        <v>144</v>
      </c>
      <c r="E8" s="92">
        <v>99900.0</v>
      </c>
      <c r="F8" s="76">
        <f t="shared" ref="F8:F10" si="1">E8*1.19</f>
        <v>118881</v>
      </c>
      <c r="G8" s="77">
        <f t="shared" ref="G8:G10" si="2">(E8+F8)/3900</f>
        <v>56.09769231</v>
      </c>
      <c r="H8" s="78">
        <f t="shared" ref="H8:H10" si="3">G8*3900</f>
        <v>218781</v>
      </c>
      <c r="I8" s="79" t="s">
        <v>16</v>
      </c>
      <c r="J8" s="93" t="s">
        <v>145</v>
      </c>
    </row>
    <row r="9" ht="50.25" customHeight="1">
      <c r="A9" s="72" t="s">
        <v>18</v>
      </c>
      <c r="B9" s="94" t="s">
        <v>64</v>
      </c>
      <c r="C9" s="95" t="s">
        <v>146</v>
      </c>
      <c r="D9" s="96" t="s">
        <v>147</v>
      </c>
      <c r="E9" s="97">
        <v>59900.0</v>
      </c>
      <c r="F9" s="76">
        <f t="shared" si="1"/>
        <v>71281</v>
      </c>
      <c r="G9" s="77">
        <f t="shared" si="2"/>
        <v>33.63615385</v>
      </c>
      <c r="H9" s="78">
        <f t="shared" si="3"/>
        <v>131181</v>
      </c>
      <c r="I9" s="79" t="s">
        <v>16</v>
      </c>
      <c r="J9" s="98" t="s">
        <v>148</v>
      </c>
    </row>
    <row r="10" ht="50.25" customHeight="1">
      <c r="A10" s="72" t="s">
        <v>23</v>
      </c>
      <c r="B10" s="99" t="s">
        <v>68</v>
      </c>
      <c r="C10" s="74" t="s">
        <v>149</v>
      </c>
      <c r="D10" s="100" t="s">
        <v>150</v>
      </c>
      <c r="E10" s="101">
        <v>89900.0</v>
      </c>
      <c r="F10" s="102">
        <f t="shared" si="1"/>
        <v>106981</v>
      </c>
      <c r="G10" s="77">
        <f t="shared" si="2"/>
        <v>50.48230769</v>
      </c>
      <c r="H10" s="78">
        <f t="shared" si="3"/>
        <v>196881</v>
      </c>
      <c r="I10" s="79" t="s">
        <v>16</v>
      </c>
      <c r="J10" s="103" t="s">
        <v>151</v>
      </c>
    </row>
    <row r="11" ht="15.0" hidden="1" customHeight="1">
      <c r="A11" s="104"/>
      <c r="B11" s="57"/>
      <c r="C11" s="79" t="s">
        <v>152</v>
      </c>
      <c r="D11" s="57"/>
      <c r="E11" s="57"/>
      <c r="F11" s="57"/>
      <c r="G11" s="105"/>
      <c r="H11" s="105"/>
      <c r="I11" s="105"/>
      <c r="J11" s="105"/>
    </row>
    <row r="12" ht="12.75" customHeight="1"/>
    <row r="13" ht="138.75" customHeight="1">
      <c r="A13" s="27" t="s">
        <v>153</v>
      </c>
      <c r="B13" s="4"/>
      <c r="C13" s="4"/>
      <c r="D13" s="4"/>
      <c r="E13" s="4"/>
      <c r="F13" s="4"/>
      <c r="G13" s="4"/>
      <c r="H13" s="4"/>
      <c r="I13" s="4"/>
      <c r="J13" s="5"/>
    </row>
    <row r="14" ht="12.75" customHeight="1"/>
    <row r="15" ht="75.0" customHeight="1">
      <c r="A15" s="27" t="s">
        <v>154</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D2:H2"/>
    <mergeCell ref="A5:J5"/>
    <mergeCell ref="B10:B11"/>
    <mergeCell ref="D10:D11"/>
    <mergeCell ref="E10:E11"/>
    <mergeCell ref="F10:F11"/>
    <mergeCell ref="A13:J13"/>
    <mergeCell ref="A15:J15"/>
  </mergeCells>
  <hyperlinks>
    <hyperlink r:id="rId1" location="origin%3Dshare%26sid%3Dshare%26wid%3DMCO3153000298" ref="C8"/>
    <hyperlink r:id="rId2" ref="C9"/>
    <hyperlink r:id="rId3" ref="C10"/>
  </hyperlinks>
  <printOptions/>
  <pageMargins bottom="0.75" footer="0.0" header="0.0" left="0.7" right="0.7" top="0.75"/>
  <pageSetup orientation="landscape"/>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70" t="s">
        <v>2</v>
      </c>
      <c r="B7" s="59" t="s">
        <v>155</v>
      </c>
      <c r="C7" s="59" t="s">
        <v>156</v>
      </c>
      <c r="D7" s="59" t="s">
        <v>157</v>
      </c>
      <c r="E7" s="59" t="s">
        <v>158</v>
      </c>
      <c r="F7" s="60" t="s">
        <v>159</v>
      </c>
      <c r="G7" s="90" t="s">
        <v>160</v>
      </c>
      <c r="H7" s="59" t="s">
        <v>9</v>
      </c>
      <c r="I7" s="59" t="s">
        <v>161</v>
      </c>
      <c r="J7" s="59" t="s">
        <v>162</v>
      </c>
      <c r="K7" s="10"/>
      <c r="L7" s="10"/>
      <c r="M7" s="10"/>
      <c r="N7" s="10"/>
      <c r="O7" s="10"/>
      <c r="P7" s="10"/>
      <c r="Q7" s="10"/>
      <c r="R7" s="10"/>
      <c r="S7" s="10"/>
      <c r="T7" s="10"/>
      <c r="U7" s="10"/>
      <c r="V7" s="10"/>
      <c r="W7" s="10"/>
      <c r="X7" s="10"/>
      <c r="Y7" s="10"/>
      <c r="Z7" s="10"/>
    </row>
    <row r="8" ht="50.25" customHeight="1">
      <c r="A8" s="72" t="s">
        <v>12</v>
      </c>
      <c r="B8" s="79" t="s">
        <v>59</v>
      </c>
      <c r="C8" s="74" t="s">
        <v>163</v>
      </c>
      <c r="D8" s="106" t="s">
        <v>164</v>
      </c>
      <c r="E8" s="83">
        <v>159800.0</v>
      </c>
      <c r="F8" s="76">
        <f t="shared" ref="F8:F10" si="1">E8*1.19</f>
        <v>190162</v>
      </c>
      <c r="G8" s="77">
        <f t="shared" ref="G8:G10" si="2">(E8+F8)/3900</f>
        <v>89.73384615</v>
      </c>
      <c r="H8" s="107">
        <f t="shared" ref="H8:H10" si="3">G8*3900</f>
        <v>349962</v>
      </c>
      <c r="I8" s="108" t="s">
        <v>62</v>
      </c>
      <c r="J8" s="109" t="s">
        <v>165</v>
      </c>
    </row>
    <row r="9" ht="50.25" customHeight="1">
      <c r="A9" s="72" t="s">
        <v>18</v>
      </c>
      <c r="B9" s="94" t="s">
        <v>19</v>
      </c>
      <c r="C9" s="95" t="s">
        <v>166</v>
      </c>
      <c r="D9" s="79" t="s">
        <v>167</v>
      </c>
      <c r="E9" s="75">
        <v>79900.0</v>
      </c>
      <c r="F9" s="76">
        <f t="shared" si="1"/>
        <v>95081</v>
      </c>
      <c r="G9" s="77">
        <f t="shared" si="2"/>
        <v>44.86692308</v>
      </c>
      <c r="H9" s="107">
        <f t="shared" si="3"/>
        <v>174981</v>
      </c>
      <c r="I9" s="108" t="s">
        <v>62</v>
      </c>
      <c r="J9" s="110" t="s">
        <v>168</v>
      </c>
    </row>
    <row r="10" ht="50.25" customHeight="1">
      <c r="A10" s="72" t="s">
        <v>23</v>
      </c>
      <c r="B10" s="79" t="s">
        <v>45</v>
      </c>
      <c r="C10" s="74" t="s">
        <v>169</v>
      </c>
      <c r="D10" s="73" t="s">
        <v>170</v>
      </c>
      <c r="E10" s="83">
        <v>99900.0</v>
      </c>
      <c r="F10" s="76">
        <f t="shared" si="1"/>
        <v>118881</v>
      </c>
      <c r="G10" s="77">
        <f t="shared" si="2"/>
        <v>56.09769231</v>
      </c>
      <c r="H10" s="107">
        <f t="shared" si="3"/>
        <v>218781</v>
      </c>
      <c r="I10" s="108" t="s">
        <v>62</v>
      </c>
      <c r="J10" s="111" t="s">
        <v>171</v>
      </c>
    </row>
    <row r="11" ht="15.0" hidden="1" customHeight="1">
      <c r="A11" s="25"/>
      <c r="B11" s="69"/>
      <c r="C11" s="69"/>
      <c r="D11" s="69"/>
      <c r="E11" s="69"/>
      <c r="F11" s="69"/>
      <c r="G11" s="69"/>
      <c r="H11" s="69"/>
      <c r="I11" s="112" t="s">
        <v>62</v>
      </c>
      <c r="J11" s="69"/>
    </row>
    <row r="12" ht="12.75" customHeight="1"/>
    <row r="13" ht="138.75" customHeight="1">
      <c r="A13" s="27" t="s">
        <v>172</v>
      </c>
      <c r="B13" s="4"/>
      <c r="C13" s="4"/>
      <c r="D13" s="4"/>
      <c r="E13" s="4"/>
      <c r="F13" s="4"/>
      <c r="G13" s="4"/>
      <c r="H13" s="4"/>
      <c r="I13" s="4"/>
      <c r="J13" s="5"/>
    </row>
    <row r="14" ht="12.75" customHeight="1"/>
    <row r="15" ht="75.0" customHeight="1">
      <c r="A15" s="27" t="s">
        <v>173</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location="polycard_client=recommendations_pdp-pads-up&amp;reco_backend=recomm_platform_base_merge_pads_rfa&amp;reco_model=search_recos_backend_merge&amp;reco_client=pdp-pads-up&amp;reco_item_pos=3&amp;reco_backend_type=low_level&amp;reco_id=9b068cd5-f950-45aa-ad7a-59c39892e7d4&amp;wid=MCO1540795711&amp;sid=recos&amp;is_advertising=true&amp;ad_domain=PDPDESKTOP_UP&amp;ad_position=4&amp;ad_click_id=ODNlMGY4NWQtY2NkMS00ZjEzLTg5MTEtNzg0YmY5ZGNmN2Yy" ref="C8"/>
    <hyperlink r:id="rId2" ref="C9"/>
    <hyperlink r:id="rId3" ref="C10"/>
  </hyperlinks>
  <printOptions/>
  <pageMargins bottom="0.75" footer="0.0" header="0.0" left="0.7" right="0.7" top="0.75"/>
  <pageSetup orientation="landscape"/>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70" t="s">
        <v>2</v>
      </c>
      <c r="B7" s="59" t="s">
        <v>174</v>
      </c>
      <c r="C7" s="59" t="s">
        <v>175</v>
      </c>
      <c r="D7" s="59" t="s">
        <v>176</v>
      </c>
      <c r="E7" s="59" t="s">
        <v>177</v>
      </c>
      <c r="F7" s="60" t="s">
        <v>178</v>
      </c>
      <c r="G7" s="90" t="s">
        <v>179</v>
      </c>
      <c r="H7" s="59" t="s">
        <v>9</v>
      </c>
      <c r="I7" s="59" t="s">
        <v>180</v>
      </c>
      <c r="J7" s="59" t="s">
        <v>181</v>
      </c>
      <c r="K7" s="10"/>
      <c r="L7" s="10"/>
      <c r="M7" s="10"/>
      <c r="N7" s="10"/>
      <c r="O7" s="10"/>
      <c r="P7" s="10"/>
      <c r="Q7" s="10"/>
      <c r="R7" s="10"/>
      <c r="S7" s="10"/>
      <c r="T7" s="10"/>
      <c r="U7" s="10"/>
      <c r="V7" s="10"/>
      <c r="W7" s="10"/>
      <c r="X7" s="10"/>
      <c r="Y7" s="10"/>
      <c r="Z7" s="10"/>
    </row>
    <row r="8" ht="50.25" customHeight="1">
      <c r="A8" s="72" t="s">
        <v>12</v>
      </c>
      <c r="B8" s="113" t="s">
        <v>182</v>
      </c>
      <c r="C8" s="95" t="s">
        <v>183</v>
      </c>
      <c r="D8" s="114" t="s">
        <v>184</v>
      </c>
      <c r="E8" s="115">
        <v>380209.0</v>
      </c>
      <c r="F8" s="116">
        <f t="shared" ref="F8:F10" si="1">E8*1.19</f>
        <v>452448.71</v>
      </c>
      <c r="G8" s="117">
        <f t="shared" ref="G8:G10" si="2">(F8+E8)/3900</f>
        <v>213.5019769</v>
      </c>
      <c r="H8" s="118">
        <f t="shared" ref="H8:H10" si="3">G8*3900</f>
        <v>832657.71</v>
      </c>
      <c r="I8" s="113" t="s">
        <v>16</v>
      </c>
      <c r="J8" s="114" t="s">
        <v>185</v>
      </c>
    </row>
    <row r="9" ht="50.25" customHeight="1">
      <c r="A9" s="72" t="s">
        <v>18</v>
      </c>
      <c r="B9" s="113" t="s">
        <v>186</v>
      </c>
      <c r="C9" s="95" t="s">
        <v>187</v>
      </c>
      <c r="D9" s="114" t="s">
        <v>188</v>
      </c>
      <c r="E9" s="115">
        <v>600000.0</v>
      </c>
      <c r="F9" s="116">
        <f t="shared" si="1"/>
        <v>714000</v>
      </c>
      <c r="G9" s="117">
        <f t="shared" si="2"/>
        <v>336.9230769</v>
      </c>
      <c r="H9" s="118">
        <f t="shared" si="3"/>
        <v>1314000</v>
      </c>
      <c r="I9" s="113" t="s">
        <v>16</v>
      </c>
      <c r="J9" s="114" t="s">
        <v>189</v>
      </c>
    </row>
    <row r="10" ht="50.25" customHeight="1">
      <c r="A10" s="72" t="s">
        <v>23</v>
      </c>
      <c r="B10" s="119" t="s">
        <v>190</v>
      </c>
      <c r="C10" s="74" t="s">
        <v>191</v>
      </c>
      <c r="D10" s="120" t="s">
        <v>192</v>
      </c>
      <c r="E10" s="121">
        <v>1099000.0</v>
      </c>
      <c r="F10" s="116">
        <f t="shared" si="1"/>
        <v>1307810</v>
      </c>
      <c r="G10" s="117">
        <f t="shared" si="2"/>
        <v>617.1307692</v>
      </c>
      <c r="H10" s="118">
        <f t="shared" si="3"/>
        <v>2406810</v>
      </c>
      <c r="I10" s="113" t="s">
        <v>16</v>
      </c>
      <c r="J10" s="119" t="s">
        <v>193</v>
      </c>
    </row>
    <row r="11" ht="15.0" hidden="1" customHeight="1">
      <c r="A11" s="25"/>
      <c r="B11" s="69"/>
      <c r="C11" s="69"/>
      <c r="D11" s="69"/>
      <c r="E11" s="69"/>
      <c r="F11" s="69"/>
      <c r="G11" s="122">
        <f>F11+E11</f>
        <v>0</v>
      </c>
      <c r="H11" s="69"/>
      <c r="I11" s="69"/>
      <c r="J11" s="69"/>
    </row>
    <row r="12" ht="12.75" customHeight="1">
      <c r="G12" s="123"/>
    </row>
    <row r="13" ht="138.75" customHeight="1">
      <c r="A13" s="27" t="s">
        <v>194</v>
      </c>
      <c r="B13" s="4"/>
      <c r="C13" s="4"/>
      <c r="D13" s="4"/>
      <c r="E13" s="4"/>
      <c r="F13" s="4"/>
      <c r="G13" s="4"/>
      <c r="H13" s="4"/>
      <c r="I13" s="4"/>
      <c r="J13" s="5"/>
    </row>
    <row r="14" ht="12.75" customHeight="1"/>
    <row r="15" ht="75.0" customHeight="1">
      <c r="A15" s="27" t="s">
        <v>195</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70" t="s">
        <v>2</v>
      </c>
      <c r="B7" s="59" t="s">
        <v>196</v>
      </c>
      <c r="C7" s="59" t="s">
        <v>197</v>
      </c>
      <c r="D7" s="59" t="s">
        <v>198</v>
      </c>
      <c r="E7" s="59" t="s">
        <v>199</v>
      </c>
      <c r="F7" s="60" t="s">
        <v>200</v>
      </c>
      <c r="G7" s="90" t="s">
        <v>201</v>
      </c>
      <c r="H7" s="59" t="s">
        <v>9</v>
      </c>
      <c r="I7" s="59" t="s">
        <v>202</v>
      </c>
      <c r="J7" s="59" t="s">
        <v>203</v>
      </c>
      <c r="K7" s="10"/>
      <c r="L7" s="10"/>
      <c r="M7" s="10"/>
      <c r="N7" s="10"/>
      <c r="O7" s="10"/>
      <c r="P7" s="10"/>
      <c r="Q7" s="10"/>
      <c r="R7" s="10"/>
      <c r="S7" s="10"/>
      <c r="T7" s="10"/>
      <c r="U7" s="10"/>
      <c r="V7" s="10"/>
      <c r="W7" s="10"/>
      <c r="X7" s="10"/>
      <c r="Y7" s="10"/>
      <c r="Z7" s="10"/>
    </row>
    <row r="8" ht="50.25" customHeight="1">
      <c r="A8" s="72" t="s">
        <v>12</v>
      </c>
      <c r="B8" s="124" t="s">
        <v>204</v>
      </c>
      <c r="C8" s="125" t="s">
        <v>205</v>
      </c>
      <c r="D8" s="126" t="s">
        <v>206</v>
      </c>
      <c r="E8" s="127">
        <v>5445763.0</v>
      </c>
      <c r="F8" s="128">
        <f t="shared" ref="F8:F10" si="1">E8*1.19</f>
        <v>6480457.97</v>
      </c>
      <c r="G8" s="77">
        <f t="shared" ref="G8:G10" si="2">(F8+E8)/3900</f>
        <v>3058.005377</v>
      </c>
      <c r="H8" s="129">
        <f t="shared" ref="H8:H10" si="3">G8*3900</f>
        <v>11926220.97</v>
      </c>
      <c r="I8" s="130" t="s">
        <v>62</v>
      </c>
      <c r="J8" s="124" t="s">
        <v>207</v>
      </c>
    </row>
    <row r="9" ht="50.25" customHeight="1">
      <c r="A9" s="72" t="s">
        <v>18</v>
      </c>
      <c r="B9" s="131" t="s">
        <v>208</v>
      </c>
      <c r="C9" s="132" t="s">
        <v>209</v>
      </c>
      <c r="D9" s="131" t="s">
        <v>210</v>
      </c>
      <c r="E9" s="127">
        <v>90000.0</v>
      </c>
      <c r="F9" s="128">
        <f t="shared" si="1"/>
        <v>107100</v>
      </c>
      <c r="G9" s="77">
        <f t="shared" si="2"/>
        <v>50.53846154</v>
      </c>
      <c r="H9" s="129">
        <f t="shared" si="3"/>
        <v>197100</v>
      </c>
      <c r="I9" s="130" t="s">
        <v>62</v>
      </c>
      <c r="J9" s="133" t="s">
        <v>211</v>
      </c>
    </row>
    <row r="10" ht="50.25" customHeight="1">
      <c r="A10" s="72" t="s">
        <v>23</v>
      </c>
      <c r="B10" s="130" t="s">
        <v>204</v>
      </c>
      <c r="C10" s="74" t="s">
        <v>212</v>
      </c>
      <c r="D10" s="134" t="s">
        <v>213</v>
      </c>
      <c r="E10" s="127" t="s">
        <v>214</v>
      </c>
      <c r="F10" s="128" t="str">
        <f t="shared" si="1"/>
        <v>#VALUE!</v>
      </c>
      <c r="G10" s="77" t="str">
        <f t="shared" si="2"/>
        <v>#VALUE!</v>
      </c>
      <c r="H10" s="129" t="str">
        <f t="shared" si="3"/>
        <v>#VALUE!</v>
      </c>
      <c r="I10" s="130" t="s">
        <v>62</v>
      </c>
      <c r="J10" s="133" t="s">
        <v>215</v>
      </c>
    </row>
    <row r="11" ht="15.0" hidden="1" customHeight="1">
      <c r="A11" s="25"/>
      <c r="B11" s="69"/>
      <c r="C11" s="69"/>
      <c r="D11" s="69"/>
      <c r="E11" s="69"/>
      <c r="F11" s="69"/>
      <c r="G11" s="69"/>
      <c r="H11" s="69"/>
      <c r="I11" s="69"/>
      <c r="J11" s="69"/>
    </row>
    <row r="12" ht="12.75" customHeight="1"/>
    <row r="13" ht="138.75" customHeight="1">
      <c r="A13" s="27" t="s">
        <v>216</v>
      </c>
      <c r="B13" s="4"/>
      <c r="C13" s="4"/>
      <c r="D13" s="4"/>
      <c r="E13" s="4"/>
      <c r="F13" s="4"/>
      <c r="G13" s="4"/>
      <c r="H13" s="4"/>
      <c r="I13" s="4"/>
      <c r="J13" s="5"/>
    </row>
    <row r="14" ht="12.75" customHeight="1"/>
    <row r="15" ht="75.0" customHeight="1">
      <c r="A15" s="27" t="s">
        <v>217</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70" t="s">
        <v>2</v>
      </c>
      <c r="B7" s="59" t="s">
        <v>218</v>
      </c>
      <c r="C7" s="59" t="s">
        <v>219</v>
      </c>
      <c r="D7" s="59" t="s">
        <v>220</v>
      </c>
      <c r="E7" s="59" t="s">
        <v>221</v>
      </c>
      <c r="F7" s="60" t="s">
        <v>222</v>
      </c>
      <c r="G7" s="90" t="s">
        <v>223</v>
      </c>
      <c r="H7" s="59" t="s">
        <v>9</v>
      </c>
      <c r="I7" s="59" t="s">
        <v>224</v>
      </c>
      <c r="J7" s="59" t="s">
        <v>225</v>
      </c>
      <c r="K7" s="10"/>
      <c r="L7" s="10"/>
      <c r="M7" s="10"/>
      <c r="N7" s="10"/>
      <c r="O7" s="10"/>
      <c r="P7" s="10"/>
      <c r="Q7" s="10"/>
      <c r="R7" s="10"/>
      <c r="S7" s="10"/>
      <c r="T7" s="10"/>
      <c r="U7" s="10"/>
      <c r="V7" s="10"/>
      <c r="W7" s="10"/>
      <c r="X7" s="10"/>
      <c r="Y7" s="10"/>
      <c r="Z7" s="10"/>
    </row>
    <row r="8" ht="50.25" customHeight="1">
      <c r="A8" s="72" t="s">
        <v>12</v>
      </c>
      <c r="B8" s="124" t="s">
        <v>226</v>
      </c>
      <c r="C8" s="132" t="s">
        <v>227</v>
      </c>
      <c r="D8" s="135" t="s">
        <v>228</v>
      </c>
      <c r="E8" s="136">
        <v>1813080.0</v>
      </c>
      <c r="F8" s="137">
        <f t="shared" ref="F8:F10" si="1">E8*1.19</f>
        <v>2157565.2</v>
      </c>
      <c r="G8" s="77">
        <f t="shared" ref="G8:G10" si="2">(F8+E8)/3900</f>
        <v>1018.114154</v>
      </c>
      <c r="H8" s="138">
        <f t="shared" ref="H8:H10" si="3">G8*3900</f>
        <v>3970645.2</v>
      </c>
      <c r="I8" s="113" t="s">
        <v>16</v>
      </c>
      <c r="J8" s="124" t="s">
        <v>229</v>
      </c>
    </row>
    <row r="9" ht="50.25" customHeight="1">
      <c r="A9" s="72" t="s">
        <v>18</v>
      </c>
      <c r="B9" s="131" t="s">
        <v>230</v>
      </c>
      <c r="C9" s="132" t="s">
        <v>231</v>
      </c>
      <c r="D9" s="131" t="s">
        <v>232</v>
      </c>
      <c r="E9" s="136">
        <v>3990000.0</v>
      </c>
      <c r="F9" s="137">
        <f t="shared" si="1"/>
        <v>4748100</v>
      </c>
      <c r="G9" s="77">
        <f t="shared" si="2"/>
        <v>2240.538462</v>
      </c>
      <c r="H9" s="138">
        <f t="shared" si="3"/>
        <v>8738100</v>
      </c>
      <c r="I9" s="113" t="s">
        <v>16</v>
      </c>
      <c r="J9" s="131" t="s">
        <v>233</v>
      </c>
    </row>
    <row r="10" ht="50.25" customHeight="1">
      <c r="A10" s="72" t="s">
        <v>23</v>
      </c>
      <c r="B10" s="113" t="s">
        <v>186</v>
      </c>
      <c r="C10" s="95" t="s">
        <v>234</v>
      </c>
      <c r="D10" s="114" t="s">
        <v>235</v>
      </c>
      <c r="E10" s="97">
        <v>3756303.0</v>
      </c>
      <c r="F10" s="137">
        <f t="shared" si="1"/>
        <v>4470000.57</v>
      </c>
      <c r="G10" s="77">
        <f t="shared" si="2"/>
        <v>2109.308608</v>
      </c>
      <c r="H10" s="138">
        <f t="shared" si="3"/>
        <v>8226303.57</v>
      </c>
      <c r="I10" s="113" t="s">
        <v>16</v>
      </c>
      <c r="J10" s="139" t="s">
        <v>236</v>
      </c>
    </row>
    <row r="11" ht="15.0" hidden="1" customHeight="1">
      <c r="A11" s="25"/>
      <c r="B11" s="69"/>
      <c r="C11" s="69"/>
      <c r="D11" s="69"/>
      <c r="E11" s="69"/>
      <c r="F11" s="69"/>
      <c r="G11" s="69"/>
      <c r="H11" s="69"/>
      <c r="I11" s="69"/>
      <c r="J11" s="69"/>
    </row>
    <row r="12" ht="12.75" customHeight="1"/>
    <row r="13" ht="138.75" customHeight="1">
      <c r="A13" s="27" t="s">
        <v>237</v>
      </c>
      <c r="B13" s="4"/>
      <c r="C13" s="4"/>
      <c r="D13" s="4"/>
      <c r="E13" s="4"/>
      <c r="F13" s="4"/>
      <c r="G13" s="4"/>
      <c r="H13" s="4"/>
      <c r="I13" s="4"/>
      <c r="J13" s="5"/>
    </row>
    <row r="14" ht="12.75" customHeight="1"/>
    <row r="15" ht="75.0" customHeight="1">
      <c r="A15" s="27" t="s">
        <v>238</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63"/>
    <col customWidth="1" min="2" max="2" width="17.75"/>
    <col customWidth="1" min="3" max="3" width="20.63"/>
    <col customWidth="1" min="4" max="4" width="23.38"/>
    <col customWidth="1" min="5" max="5" width="17.75"/>
    <col customWidth="1" min="6" max="6" width="17.88"/>
    <col customWidth="1" min="7" max="7" width="19.63"/>
    <col customWidth="1" min="8" max="8" width="16.0"/>
    <col customWidth="1" min="9" max="9" width="15.0"/>
    <col customWidth="1" min="10" max="10" width="22.88"/>
    <col customWidth="1" min="11" max="26" width="10.63"/>
  </cols>
  <sheetData>
    <row r="1" ht="12.75" customHeight="1">
      <c r="A1" s="1"/>
    </row>
    <row r="2" ht="12.75" customHeight="1">
      <c r="D2" s="2" t="s">
        <v>0</v>
      </c>
    </row>
    <row r="3" ht="12.75" customHeight="1"/>
    <row r="4" ht="12.75" customHeight="1"/>
    <row r="5" ht="12.75" customHeight="1">
      <c r="A5" s="3" t="s">
        <v>1</v>
      </c>
      <c r="B5" s="4"/>
      <c r="C5" s="4"/>
      <c r="D5" s="4"/>
      <c r="E5" s="4"/>
      <c r="F5" s="4"/>
      <c r="G5" s="4"/>
      <c r="H5" s="4"/>
      <c r="I5" s="4"/>
      <c r="J5" s="5"/>
    </row>
    <row r="6" ht="12.75" customHeight="1"/>
    <row r="7" ht="60.0" customHeight="1">
      <c r="A7" s="70" t="s">
        <v>2</v>
      </c>
      <c r="B7" s="59" t="s">
        <v>239</v>
      </c>
      <c r="C7" s="59" t="s">
        <v>240</v>
      </c>
      <c r="D7" s="59" t="s">
        <v>241</v>
      </c>
      <c r="E7" s="59" t="s">
        <v>242</v>
      </c>
      <c r="F7" s="60" t="s">
        <v>243</v>
      </c>
      <c r="G7" s="90" t="s">
        <v>244</v>
      </c>
      <c r="H7" s="59" t="s">
        <v>9</v>
      </c>
      <c r="I7" s="59" t="s">
        <v>245</v>
      </c>
      <c r="J7" s="59" t="s">
        <v>246</v>
      </c>
    </row>
    <row r="8" ht="69.0" customHeight="1">
      <c r="A8" s="72" t="s">
        <v>12</v>
      </c>
      <c r="B8" s="124" t="s">
        <v>247</v>
      </c>
      <c r="C8" s="125" t="s">
        <v>248</v>
      </c>
      <c r="D8" s="126" t="s">
        <v>249</v>
      </c>
      <c r="E8" s="137">
        <v>273780.0</v>
      </c>
      <c r="F8" s="137">
        <f t="shared" ref="F8:F10" si="1">E8*1.19</f>
        <v>325798.2</v>
      </c>
      <c r="G8" s="77">
        <f t="shared" ref="G8:G10" si="2">(F8+E8)/3900</f>
        <v>153.738</v>
      </c>
      <c r="H8" s="138">
        <f t="shared" ref="H8:H10" si="3">G8*3900</f>
        <v>599578.2</v>
      </c>
      <c r="I8" s="113" t="s">
        <v>16</v>
      </c>
      <c r="J8" s="124" t="s">
        <v>250</v>
      </c>
    </row>
    <row r="9" ht="59.25" customHeight="1">
      <c r="A9" s="72" t="s">
        <v>18</v>
      </c>
      <c r="B9" s="124" t="s">
        <v>251</v>
      </c>
      <c r="C9" s="125" t="s">
        <v>252</v>
      </c>
      <c r="D9" s="124" t="s">
        <v>253</v>
      </c>
      <c r="E9" s="137">
        <v>113670.0</v>
      </c>
      <c r="F9" s="137">
        <f t="shared" si="1"/>
        <v>135267.3</v>
      </c>
      <c r="G9" s="77">
        <f t="shared" si="2"/>
        <v>63.83007692</v>
      </c>
      <c r="H9" s="138">
        <f t="shared" si="3"/>
        <v>248937.3</v>
      </c>
      <c r="I9" s="113" t="s">
        <v>16</v>
      </c>
      <c r="J9" s="124" t="s">
        <v>254</v>
      </c>
    </row>
    <row r="10" ht="78.75" customHeight="1">
      <c r="A10" s="72" t="s">
        <v>23</v>
      </c>
      <c r="B10" s="113" t="s">
        <v>255</v>
      </c>
      <c r="C10" s="95" t="s">
        <v>256</v>
      </c>
      <c r="D10" s="114" t="s">
        <v>257</v>
      </c>
      <c r="E10" s="97">
        <v>178200.0</v>
      </c>
      <c r="F10" s="137">
        <f t="shared" si="1"/>
        <v>212058</v>
      </c>
      <c r="G10" s="77">
        <f t="shared" si="2"/>
        <v>100.0661538</v>
      </c>
      <c r="H10" s="138">
        <f t="shared" si="3"/>
        <v>390258</v>
      </c>
      <c r="I10" s="113" t="s">
        <v>16</v>
      </c>
      <c r="J10" s="139" t="s">
        <v>258</v>
      </c>
    </row>
    <row r="11" ht="12.75" customHeight="1">
      <c r="A11" s="25"/>
      <c r="B11" s="69"/>
      <c r="C11" s="69"/>
      <c r="D11" s="69"/>
      <c r="E11" s="69"/>
      <c r="F11" s="69"/>
      <c r="G11" s="69"/>
      <c r="H11" s="69"/>
      <c r="I11" s="69"/>
      <c r="J11" s="69"/>
    </row>
    <row r="12" ht="12.75" customHeight="1"/>
    <row r="13" ht="12.75" customHeight="1">
      <c r="A13" s="27" t="s">
        <v>259</v>
      </c>
      <c r="B13" s="4"/>
      <c r="C13" s="4"/>
      <c r="D13" s="4"/>
      <c r="E13" s="4"/>
      <c r="F13" s="4"/>
      <c r="G13" s="4"/>
      <c r="H13" s="4"/>
      <c r="I13" s="4"/>
      <c r="J13" s="5"/>
    </row>
    <row r="14" ht="12.75" customHeight="1"/>
    <row r="15" ht="12.75" customHeight="1">
      <c r="A15" s="27" t="s">
        <v>260</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63"/>
    <col customWidth="1" min="2" max="2" width="15.0"/>
    <col customWidth="1" min="3" max="3" width="14.88"/>
    <col customWidth="1" min="4" max="4" width="20.0"/>
    <col customWidth="1" min="5" max="5" width="16.88"/>
    <col customWidth="1" min="6" max="6" width="17.63"/>
    <col customWidth="1" min="7" max="7" width="17.25"/>
    <col customWidth="1" min="8" max="8" width="23.88"/>
    <col customWidth="1" min="9" max="9" width="22.25"/>
    <col customWidth="1" min="10" max="10" width="24.0"/>
    <col customWidth="1" min="11" max="26" width="10.63"/>
  </cols>
  <sheetData>
    <row r="1" ht="12.75" customHeight="1"/>
    <row r="2" ht="12.75" customHeight="1">
      <c r="A2" s="3" t="s">
        <v>1</v>
      </c>
      <c r="B2" s="4"/>
      <c r="C2" s="4"/>
      <c r="D2" s="4"/>
      <c r="E2" s="4"/>
      <c r="F2" s="4"/>
      <c r="G2" s="4"/>
      <c r="H2" s="4"/>
      <c r="I2" s="4"/>
      <c r="J2" s="5"/>
    </row>
    <row r="3" ht="12.75" customHeight="1"/>
    <row r="4" ht="78.75" customHeight="1">
      <c r="A4" s="70" t="s">
        <v>2</v>
      </c>
      <c r="B4" s="59" t="s">
        <v>261</v>
      </c>
      <c r="C4" s="59" t="s">
        <v>262</v>
      </c>
      <c r="D4" s="59" t="s">
        <v>263</v>
      </c>
      <c r="E4" s="140" t="s">
        <v>264</v>
      </c>
      <c r="F4" s="60" t="s">
        <v>265</v>
      </c>
      <c r="G4" s="90" t="s">
        <v>266</v>
      </c>
      <c r="H4" s="59" t="s">
        <v>9</v>
      </c>
      <c r="I4" s="59" t="s">
        <v>267</v>
      </c>
      <c r="J4" s="59" t="s">
        <v>268</v>
      </c>
    </row>
    <row r="5" ht="61.5" customHeight="1">
      <c r="A5" s="72" t="s">
        <v>12</v>
      </c>
      <c r="B5" s="124" t="s">
        <v>269</v>
      </c>
      <c r="C5" s="125" t="s">
        <v>270</v>
      </c>
      <c r="D5" s="126" t="s">
        <v>271</v>
      </c>
      <c r="E5" s="136">
        <v>1378800.0</v>
      </c>
      <c r="F5" s="137">
        <f t="shared" ref="F5:F7" si="1">E5*1.19</f>
        <v>1640772</v>
      </c>
      <c r="G5" s="77">
        <f t="shared" ref="G5:G7" si="2">(F5+E5)/3900</f>
        <v>774.2492308</v>
      </c>
      <c r="H5" s="138">
        <f t="shared" ref="H5:H7" si="3">G5*3900</f>
        <v>3019572</v>
      </c>
      <c r="I5" s="113" t="s">
        <v>16</v>
      </c>
      <c r="J5" s="131" t="s">
        <v>272</v>
      </c>
    </row>
    <row r="6" ht="68.25" customHeight="1">
      <c r="A6" s="72" t="s">
        <v>18</v>
      </c>
      <c r="B6" s="124" t="s">
        <v>273</v>
      </c>
      <c r="C6" s="125" t="s">
        <v>274</v>
      </c>
      <c r="D6" s="124" t="s">
        <v>275</v>
      </c>
      <c r="E6" s="136">
        <v>1378800.0</v>
      </c>
      <c r="F6" s="137">
        <f t="shared" si="1"/>
        <v>1640772</v>
      </c>
      <c r="G6" s="77">
        <f t="shared" si="2"/>
        <v>774.2492308</v>
      </c>
      <c r="H6" s="138">
        <f t="shared" si="3"/>
        <v>3019572</v>
      </c>
      <c r="I6" s="113" t="s">
        <v>16</v>
      </c>
      <c r="J6" s="124" t="s">
        <v>276</v>
      </c>
    </row>
    <row r="7" ht="63.0" customHeight="1">
      <c r="A7" s="72" t="s">
        <v>23</v>
      </c>
      <c r="B7" s="113" t="s">
        <v>277</v>
      </c>
      <c r="C7" s="74" t="s">
        <v>278</v>
      </c>
      <c r="D7" s="114" t="s">
        <v>275</v>
      </c>
      <c r="E7" s="115">
        <v>1378800.0</v>
      </c>
      <c r="F7" s="137">
        <f t="shared" si="1"/>
        <v>1640772</v>
      </c>
      <c r="G7" s="77">
        <f t="shared" si="2"/>
        <v>774.2492308</v>
      </c>
      <c r="H7" s="138">
        <f t="shared" si="3"/>
        <v>3019572</v>
      </c>
      <c r="I7" s="113" t="s">
        <v>16</v>
      </c>
      <c r="J7" s="139" t="s">
        <v>279</v>
      </c>
    </row>
    <row r="8" ht="17.25" customHeight="1">
      <c r="A8" s="25"/>
      <c r="B8" s="69"/>
      <c r="C8" s="69"/>
      <c r="D8" s="69"/>
      <c r="E8" s="69"/>
      <c r="F8" s="69"/>
      <c r="G8" s="69"/>
      <c r="H8" s="69"/>
      <c r="I8" s="69"/>
      <c r="J8" s="69"/>
    </row>
    <row r="9" ht="12.75" customHeight="1"/>
    <row r="10" ht="12.75" customHeight="1">
      <c r="A10" s="27" t="s">
        <v>280</v>
      </c>
      <c r="B10" s="4"/>
      <c r="C10" s="4"/>
      <c r="D10" s="4"/>
      <c r="E10" s="4"/>
      <c r="F10" s="4"/>
      <c r="G10" s="4"/>
      <c r="H10" s="4"/>
      <c r="I10" s="4"/>
      <c r="J10" s="5"/>
    </row>
    <row r="11" ht="12.75" customHeight="1"/>
    <row r="12" ht="12.75" customHeight="1">
      <c r="A12" s="27" t="s">
        <v>281</v>
      </c>
      <c r="B12" s="4"/>
      <c r="C12" s="4"/>
      <c r="D12" s="4"/>
      <c r="E12" s="4"/>
      <c r="F12" s="4"/>
      <c r="G12" s="4"/>
      <c r="H12" s="4"/>
      <c r="I12" s="4"/>
      <c r="J12" s="5"/>
    </row>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A2:J2"/>
    <mergeCell ref="A10:J10"/>
    <mergeCell ref="A12:J12"/>
  </mergeCells>
  <hyperlinks>
    <hyperlink r:id="rId1" ref="C5"/>
    <hyperlink r:id="rId2" ref="C6"/>
    <hyperlink r:id="rId3" ref="C7"/>
  </hyperlinks>
  <printOptions/>
  <pageMargins bottom="0.75" footer="0.0" header="0.0" left="0.7" right="0.7" top="0.75"/>
  <pageSetup orientation="portrait"/>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63"/>
    <col customWidth="1" min="2" max="2" width="20.63"/>
    <col customWidth="1" min="3" max="3" width="19.0"/>
    <col customWidth="1" min="4" max="4" width="18.63"/>
    <col customWidth="1" min="5" max="5" width="15.38"/>
    <col customWidth="1" min="6" max="6" width="16.63"/>
    <col customWidth="1" min="7" max="7" width="18.88"/>
    <col customWidth="1" min="8" max="8" width="17.13"/>
    <col customWidth="1" min="9" max="9" width="16.25"/>
    <col customWidth="1" min="10" max="10" width="22.13"/>
    <col customWidth="1" min="11" max="26" width="10.63"/>
  </cols>
  <sheetData>
    <row r="1" ht="12.75" customHeight="1"/>
    <row r="2" ht="12.75" customHeight="1">
      <c r="A2" s="3" t="s">
        <v>1</v>
      </c>
      <c r="B2" s="4"/>
      <c r="C2" s="4"/>
      <c r="D2" s="4"/>
      <c r="E2" s="4"/>
      <c r="F2" s="4"/>
      <c r="G2" s="4"/>
      <c r="H2" s="4"/>
      <c r="I2" s="4"/>
      <c r="J2" s="5"/>
    </row>
    <row r="3" ht="12.75" customHeight="1"/>
    <row r="4" ht="69.0" customHeight="1">
      <c r="A4" s="70" t="s">
        <v>2</v>
      </c>
      <c r="B4" s="59" t="s">
        <v>282</v>
      </c>
      <c r="C4" s="59" t="s">
        <v>283</v>
      </c>
      <c r="D4" s="59" t="s">
        <v>284</v>
      </c>
      <c r="E4" s="59" t="s">
        <v>285</v>
      </c>
      <c r="F4" s="60" t="s">
        <v>286</v>
      </c>
      <c r="G4" s="90" t="s">
        <v>287</v>
      </c>
      <c r="H4" s="59" t="s">
        <v>9</v>
      </c>
      <c r="I4" s="59" t="s">
        <v>288</v>
      </c>
      <c r="J4" s="59" t="s">
        <v>289</v>
      </c>
    </row>
    <row r="5" ht="82.5" customHeight="1">
      <c r="A5" s="72" t="s">
        <v>12</v>
      </c>
      <c r="B5" s="124" t="s">
        <v>290</v>
      </c>
      <c r="C5" s="125" t="s">
        <v>291</v>
      </c>
      <c r="D5" s="135" t="s">
        <v>292</v>
      </c>
      <c r="E5" s="137">
        <v>1350972.0</v>
      </c>
      <c r="F5" s="137">
        <f t="shared" ref="F5:F7" si="1">E5*1.19</f>
        <v>1607656.68</v>
      </c>
      <c r="G5" s="77">
        <f t="shared" ref="G5:G7" si="2">(F5+E5)/3900</f>
        <v>758.6227385</v>
      </c>
      <c r="H5" s="138">
        <f t="shared" ref="H5:H7" si="3">G5*3900</f>
        <v>2958628.68</v>
      </c>
      <c r="I5" s="113" t="s">
        <v>16</v>
      </c>
      <c r="J5" s="124" t="s">
        <v>293</v>
      </c>
    </row>
    <row r="6" ht="81.0" customHeight="1">
      <c r="A6" s="72" t="s">
        <v>18</v>
      </c>
      <c r="B6" s="124" t="s">
        <v>294</v>
      </c>
      <c r="C6" s="125" t="s">
        <v>295</v>
      </c>
      <c r="D6" s="131" t="s">
        <v>296</v>
      </c>
      <c r="E6" s="137">
        <v>1350972.0</v>
      </c>
      <c r="F6" s="137">
        <f t="shared" si="1"/>
        <v>1607656.68</v>
      </c>
      <c r="G6" s="77">
        <f t="shared" si="2"/>
        <v>758.6227385</v>
      </c>
      <c r="H6" s="138">
        <f t="shared" si="3"/>
        <v>2958628.68</v>
      </c>
      <c r="I6" s="113" t="s">
        <v>16</v>
      </c>
      <c r="J6" s="124" t="s">
        <v>297</v>
      </c>
    </row>
    <row r="7" ht="78.0" customHeight="1">
      <c r="A7" s="72" t="s">
        <v>23</v>
      </c>
      <c r="B7" s="113" t="s">
        <v>298</v>
      </c>
      <c r="C7" s="95" t="s">
        <v>299</v>
      </c>
      <c r="D7" s="120" t="s">
        <v>296</v>
      </c>
      <c r="E7" s="115">
        <v>1723500.0</v>
      </c>
      <c r="F7" s="137">
        <f t="shared" si="1"/>
        <v>2050965</v>
      </c>
      <c r="G7" s="77">
        <f t="shared" si="2"/>
        <v>967.8115385</v>
      </c>
      <c r="H7" s="138">
        <f t="shared" si="3"/>
        <v>3774465</v>
      </c>
      <c r="I7" s="113" t="s">
        <v>16</v>
      </c>
      <c r="J7" s="139" t="s">
        <v>300</v>
      </c>
    </row>
    <row r="8" ht="12.75" customHeight="1">
      <c r="A8" s="25"/>
      <c r="B8" s="69"/>
      <c r="C8" s="69"/>
      <c r="D8" s="69"/>
      <c r="E8" s="69"/>
      <c r="F8" s="69"/>
      <c r="G8" s="69"/>
      <c r="H8" s="69"/>
      <c r="I8" s="69"/>
      <c r="J8" s="69"/>
    </row>
    <row r="9" ht="12.75" customHeight="1"/>
    <row r="10" ht="12.75" customHeight="1">
      <c r="A10" s="27" t="s">
        <v>301</v>
      </c>
      <c r="B10" s="4"/>
      <c r="C10" s="4"/>
      <c r="D10" s="4"/>
      <c r="E10" s="4"/>
      <c r="F10" s="4"/>
      <c r="G10" s="4"/>
      <c r="H10" s="4"/>
      <c r="I10" s="4"/>
      <c r="J10" s="5"/>
    </row>
    <row r="11" ht="12.75" customHeight="1"/>
    <row r="12" ht="12.75" customHeight="1">
      <c r="A12" s="27" t="s">
        <v>302</v>
      </c>
      <c r="B12" s="4"/>
      <c r="C12" s="4"/>
      <c r="D12" s="4"/>
      <c r="E12" s="4"/>
      <c r="F12" s="4"/>
      <c r="G12" s="4"/>
      <c r="H12" s="4"/>
      <c r="I12" s="4"/>
      <c r="J12" s="5"/>
    </row>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A2:J2"/>
    <mergeCell ref="A10:J10"/>
    <mergeCell ref="A12:J12"/>
  </mergeCells>
  <hyperlinks>
    <hyperlink r:id="rId1" ref="C5"/>
    <hyperlink r:id="rId2" ref="C6"/>
    <hyperlink r:id="rId3" ref="C7"/>
  </hyperlinks>
  <printOptions/>
  <pageMargins bottom="0.75" footer="0.0" header="0.0" left="0.7" right="0.7" top="0.75"/>
  <pageSetup orientation="landscape"/>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8.38"/>
    <col customWidth="1" min="3" max="3" width="26.63"/>
  </cols>
  <sheetData>
    <row r="1">
      <c r="C1" s="141" t="s">
        <v>303</v>
      </c>
    </row>
    <row r="4">
      <c r="A4" s="142" t="s">
        <v>304</v>
      </c>
      <c r="B4" s="142" t="s">
        <v>305</v>
      </c>
      <c r="C4" s="142" t="s">
        <v>306</v>
      </c>
      <c r="D4" s="142" t="s">
        <v>307</v>
      </c>
      <c r="E4" s="142" t="s">
        <v>308</v>
      </c>
      <c r="F4" s="142" t="s">
        <v>309</v>
      </c>
      <c r="G4" s="142" t="s">
        <v>310</v>
      </c>
      <c r="H4" s="142" t="s">
        <v>311</v>
      </c>
    </row>
    <row r="5">
      <c r="A5" s="68" t="s">
        <v>312</v>
      </c>
      <c r="B5" s="68" t="s">
        <v>313</v>
      </c>
      <c r="C5" s="68" t="s">
        <v>314</v>
      </c>
      <c r="D5" s="68">
        <v>8.0</v>
      </c>
      <c r="E5" s="68">
        <v>50000.0</v>
      </c>
      <c r="F5" s="68">
        <f t="shared" ref="F5:F8" si="1">E5 * D5</f>
        <v>400000</v>
      </c>
      <c r="G5" s="68">
        <v>5000000.0</v>
      </c>
      <c r="H5" s="68">
        <f t="shared" ref="H5:H8" si="2"> G5 * 18</f>
        <v>90000000</v>
      </c>
    </row>
    <row r="6">
      <c r="A6" s="68" t="s">
        <v>315</v>
      </c>
      <c r="B6" s="68" t="s">
        <v>313</v>
      </c>
      <c r="C6" s="68" t="s">
        <v>314</v>
      </c>
      <c r="D6" s="68">
        <v>8.0</v>
      </c>
      <c r="E6" s="68">
        <v>50000.0</v>
      </c>
      <c r="F6" s="68">
        <f t="shared" si="1"/>
        <v>400000</v>
      </c>
      <c r="G6" s="68">
        <v>5000000.0</v>
      </c>
      <c r="H6" s="68">
        <f t="shared" si="2"/>
        <v>90000000</v>
      </c>
    </row>
    <row r="7">
      <c r="A7" s="68" t="s">
        <v>316</v>
      </c>
      <c r="B7" s="68" t="s">
        <v>313</v>
      </c>
      <c r="C7" s="68" t="s">
        <v>314</v>
      </c>
      <c r="D7" s="68">
        <v>8.0</v>
      </c>
      <c r="E7" s="68">
        <v>50000.0</v>
      </c>
      <c r="F7" s="68">
        <f t="shared" si="1"/>
        <v>400000</v>
      </c>
      <c r="G7" s="68">
        <v>5000000.0</v>
      </c>
      <c r="H7" s="68">
        <f t="shared" si="2"/>
        <v>90000000</v>
      </c>
    </row>
    <row r="8">
      <c r="A8" s="68" t="s">
        <v>317</v>
      </c>
      <c r="B8" s="68" t="s">
        <v>313</v>
      </c>
      <c r="C8" s="68" t="s">
        <v>314</v>
      </c>
      <c r="D8" s="68">
        <v>8.0</v>
      </c>
      <c r="E8" s="68">
        <v>50000.0</v>
      </c>
      <c r="F8" s="68">
        <f t="shared" si="1"/>
        <v>400000</v>
      </c>
      <c r="G8" s="68">
        <v>5000000.0</v>
      </c>
      <c r="H8" s="68">
        <f t="shared" si="2"/>
        <v>90000000</v>
      </c>
    </row>
    <row r="9">
      <c r="A9" s="68" t="s">
        <v>318</v>
      </c>
      <c r="B9" s="143"/>
      <c r="C9" s="143"/>
      <c r="D9" s="143"/>
      <c r="E9" s="143"/>
      <c r="F9" s="144">
        <f t="shared" ref="F9:H9" si="3"> F5 * 4</f>
        <v>1600000</v>
      </c>
      <c r="G9" s="68">
        <f t="shared" si="3"/>
        <v>20000000</v>
      </c>
      <c r="H9" s="68">
        <f t="shared" si="3"/>
        <v>360000000</v>
      </c>
    </row>
  </sheetData>
  <mergeCells count="1">
    <mergeCell ref="C1:E1"/>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26.75"/>
    <col customWidth="1" min="4" max="4" width="20.25"/>
    <col customWidth="1" min="10" max="10" width="23.63"/>
    <col customWidth="1" min="11" max="11" width="57.38"/>
  </cols>
  <sheetData>
    <row r="2">
      <c r="A2" s="3" t="s">
        <v>1</v>
      </c>
      <c r="B2" s="4"/>
      <c r="C2" s="4"/>
      <c r="D2" s="4"/>
      <c r="E2" s="4"/>
      <c r="F2" s="4"/>
      <c r="G2" s="4"/>
      <c r="H2" s="4"/>
      <c r="I2" s="4"/>
      <c r="J2" s="5"/>
    </row>
    <row r="4">
      <c r="A4" s="145" t="s">
        <v>319</v>
      </c>
      <c r="B4" s="59" t="s">
        <v>320</v>
      </c>
      <c r="C4" s="59" t="s">
        <v>321</v>
      </c>
      <c r="D4" s="59" t="s">
        <v>322</v>
      </c>
      <c r="E4" s="59" t="s">
        <v>323</v>
      </c>
      <c r="F4" s="60" t="s">
        <v>324</v>
      </c>
      <c r="G4" s="90" t="s">
        <v>325</v>
      </c>
      <c r="H4" s="59" t="s">
        <v>9</v>
      </c>
      <c r="I4" s="59" t="s">
        <v>326</v>
      </c>
      <c r="J4" s="140" t="s">
        <v>327</v>
      </c>
      <c r="K4" s="146" t="s">
        <v>328</v>
      </c>
    </row>
    <row r="5">
      <c r="A5" s="147" t="s">
        <v>329</v>
      </c>
      <c r="B5" s="148" t="s">
        <v>19</v>
      </c>
      <c r="C5" s="149" t="s">
        <v>20</v>
      </c>
      <c r="D5" s="22" t="s">
        <v>21</v>
      </c>
      <c r="E5" s="67">
        <v>589990.0</v>
      </c>
      <c r="F5" s="63">
        <f t="shared" ref="F5:F7" si="1"> E5 * 1.19</f>
        <v>702088.1</v>
      </c>
      <c r="G5" s="150">
        <f t="shared" ref="G5:G8" si="2">(E5+F5)/3900</f>
        <v>331.3020769</v>
      </c>
      <c r="H5" s="36">
        <f t="shared" ref="H5:H18" si="3">G5*3900</f>
        <v>1292078.1</v>
      </c>
      <c r="I5" s="151" t="s">
        <v>16</v>
      </c>
      <c r="J5" s="23" t="s">
        <v>22</v>
      </c>
      <c r="K5" s="147" t="s">
        <v>330</v>
      </c>
    </row>
    <row r="6">
      <c r="A6" s="147" t="s">
        <v>331</v>
      </c>
      <c r="B6" s="66" t="s">
        <v>38</v>
      </c>
      <c r="C6" s="37" t="s">
        <v>39</v>
      </c>
      <c r="D6" s="32" t="s">
        <v>40</v>
      </c>
      <c r="E6" s="152">
        <v>408000.0</v>
      </c>
      <c r="F6" s="153">
        <f t="shared" si="1"/>
        <v>485520</v>
      </c>
      <c r="G6" s="154">
        <f t="shared" si="2"/>
        <v>229.1076923</v>
      </c>
      <c r="H6" s="36">
        <f t="shared" si="3"/>
        <v>893520</v>
      </c>
      <c r="I6" s="66" t="s">
        <v>16</v>
      </c>
      <c r="J6" s="14" t="s">
        <v>41</v>
      </c>
      <c r="K6" s="147" t="s">
        <v>332</v>
      </c>
    </row>
    <row r="7">
      <c r="A7" s="147" t="s">
        <v>333</v>
      </c>
      <c r="B7" s="66" t="s">
        <v>59</v>
      </c>
      <c r="C7" s="149" t="s">
        <v>60</v>
      </c>
      <c r="D7" s="14" t="s">
        <v>61</v>
      </c>
      <c r="E7" s="152">
        <v>379900.0</v>
      </c>
      <c r="F7" s="155">
        <f t="shared" si="1"/>
        <v>452081</v>
      </c>
      <c r="G7" s="154">
        <f t="shared" si="2"/>
        <v>213.3284615</v>
      </c>
      <c r="H7" s="36">
        <f t="shared" si="3"/>
        <v>831981</v>
      </c>
      <c r="I7" s="66" t="s">
        <v>62</v>
      </c>
      <c r="J7" s="66" t="s">
        <v>63</v>
      </c>
      <c r="K7" s="147" t="s">
        <v>334</v>
      </c>
    </row>
    <row r="8">
      <c r="A8" s="147" t="s">
        <v>335</v>
      </c>
      <c r="B8" s="66" t="s">
        <v>85</v>
      </c>
      <c r="C8" s="37" t="s">
        <v>86</v>
      </c>
      <c r="D8" s="38" t="s">
        <v>87</v>
      </c>
      <c r="E8" s="67">
        <v>149900.0</v>
      </c>
      <c r="F8" s="156">
        <f t="shared" ref="F8:F18" si="4">E8*1.19</f>
        <v>178381</v>
      </c>
      <c r="G8" s="157">
        <f t="shared" si="2"/>
        <v>84.17461538</v>
      </c>
      <c r="H8" s="36">
        <f t="shared" si="3"/>
        <v>328281</v>
      </c>
      <c r="I8" s="66" t="s">
        <v>62</v>
      </c>
      <c r="J8" s="14" t="s">
        <v>88</v>
      </c>
      <c r="K8" s="147" t="s">
        <v>336</v>
      </c>
    </row>
    <row r="9">
      <c r="A9" s="147" t="s">
        <v>337</v>
      </c>
      <c r="B9" s="14" t="s">
        <v>110</v>
      </c>
      <c r="C9" s="37" t="s">
        <v>111</v>
      </c>
      <c r="D9" s="14" t="s">
        <v>112</v>
      </c>
      <c r="E9" s="87">
        <v>6599000.0</v>
      </c>
      <c r="F9" s="156">
        <f t="shared" si="4"/>
        <v>7852810</v>
      </c>
      <c r="G9" s="158">
        <f t="shared" ref="G9:G10" si="5">(F9+E9)/3900</f>
        <v>3705.592308</v>
      </c>
      <c r="H9" s="36">
        <f t="shared" si="3"/>
        <v>14451810</v>
      </c>
      <c r="I9" s="66" t="s">
        <v>62</v>
      </c>
      <c r="J9" s="14" t="s">
        <v>113</v>
      </c>
      <c r="K9" s="147" t="s">
        <v>338</v>
      </c>
    </row>
    <row r="10">
      <c r="A10" s="147" t="s">
        <v>339</v>
      </c>
      <c r="B10" s="21" t="s">
        <v>102</v>
      </c>
      <c r="C10" s="84" t="s">
        <v>127</v>
      </c>
      <c r="D10" s="32" t="s">
        <v>128</v>
      </c>
      <c r="E10" s="87">
        <v>249000.0</v>
      </c>
      <c r="F10" s="64">
        <f t="shared" si="4"/>
        <v>296310</v>
      </c>
      <c r="G10" s="159">
        <f t="shared" si="5"/>
        <v>139.8230769</v>
      </c>
      <c r="H10" s="36">
        <f t="shared" si="3"/>
        <v>545310</v>
      </c>
      <c r="I10" s="12" t="s">
        <v>16</v>
      </c>
      <c r="J10" s="14" t="s">
        <v>129</v>
      </c>
      <c r="K10" s="147" t="s">
        <v>340</v>
      </c>
    </row>
    <row r="11">
      <c r="A11" s="147" t="s">
        <v>341</v>
      </c>
      <c r="B11" s="148" t="s">
        <v>64</v>
      </c>
      <c r="C11" s="149" t="s">
        <v>146</v>
      </c>
      <c r="D11" s="160" t="s">
        <v>147</v>
      </c>
      <c r="E11" s="161">
        <v>59900.0</v>
      </c>
      <c r="F11" s="156">
        <f t="shared" si="4"/>
        <v>71281</v>
      </c>
      <c r="G11" s="158">
        <f t="shared" ref="G11:G12" si="6">(E11+F11)/3900</f>
        <v>33.63615385</v>
      </c>
      <c r="H11" s="36">
        <f t="shared" si="3"/>
        <v>131181</v>
      </c>
      <c r="I11" s="66" t="s">
        <v>16</v>
      </c>
      <c r="J11" s="160" t="s">
        <v>148</v>
      </c>
      <c r="K11" s="147" t="s">
        <v>342</v>
      </c>
    </row>
    <row r="12">
      <c r="A12" s="147" t="s">
        <v>343</v>
      </c>
      <c r="B12" s="148" t="s">
        <v>19</v>
      </c>
      <c r="C12" s="149" t="s">
        <v>166</v>
      </c>
      <c r="D12" s="66" t="s">
        <v>167</v>
      </c>
      <c r="E12" s="87">
        <v>79900.0</v>
      </c>
      <c r="F12" s="156">
        <f t="shared" si="4"/>
        <v>95081</v>
      </c>
      <c r="G12" s="158">
        <f t="shared" si="6"/>
        <v>44.86692308</v>
      </c>
      <c r="H12" s="162">
        <f t="shared" si="3"/>
        <v>174981</v>
      </c>
      <c r="I12" s="66" t="s">
        <v>62</v>
      </c>
      <c r="J12" s="163" t="s">
        <v>168</v>
      </c>
      <c r="K12" s="147" t="s">
        <v>344</v>
      </c>
    </row>
    <row r="13">
      <c r="A13" s="147" t="s">
        <v>345</v>
      </c>
      <c r="B13" s="151" t="s">
        <v>182</v>
      </c>
      <c r="C13" s="149" t="s">
        <v>183</v>
      </c>
      <c r="D13" s="151" t="s">
        <v>184</v>
      </c>
      <c r="E13" s="164">
        <v>380209.0</v>
      </c>
      <c r="F13" s="161">
        <f t="shared" si="4"/>
        <v>452448.71</v>
      </c>
      <c r="G13" s="158">
        <f t="shared" ref="G13:G18" si="7">(F13+E13)/3900</f>
        <v>213.5019769</v>
      </c>
      <c r="H13" s="165">
        <f t="shared" si="3"/>
        <v>832657.71</v>
      </c>
      <c r="I13" s="151" t="s">
        <v>16</v>
      </c>
      <c r="J13" s="151" t="s">
        <v>185</v>
      </c>
      <c r="K13" s="147" t="s">
        <v>346</v>
      </c>
    </row>
    <row r="14">
      <c r="A14" s="147" t="s">
        <v>347</v>
      </c>
      <c r="B14" s="151" t="s">
        <v>204</v>
      </c>
      <c r="C14" s="149" t="s">
        <v>205</v>
      </c>
      <c r="D14" s="166" t="s">
        <v>206</v>
      </c>
      <c r="E14" s="167">
        <v>5445763.0</v>
      </c>
      <c r="F14" s="168">
        <f t="shared" si="4"/>
        <v>6480457.97</v>
      </c>
      <c r="G14" s="158">
        <f t="shared" si="7"/>
        <v>3058.005377</v>
      </c>
      <c r="H14" s="169">
        <f t="shared" si="3"/>
        <v>11926220.97</v>
      </c>
      <c r="I14" s="170" t="s">
        <v>62</v>
      </c>
      <c r="J14" s="151" t="s">
        <v>207</v>
      </c>
      <c r="K14" s="147" t="s">
        <v>348</v>
      </c>
    </row>
    <row r="15">
      <c r="A15" s="147" t="s">
        <v>349</v>
      </c>
      <c r="B15" s="151" t="s">
        <v>226</v>
      </c>
      <c r="C15" s="171" t="s">
        <v>227</v>
      </c>
      <c r="D15" s="172" t="s">
        <v>228</v>
      </c>
      <c r="E15" s="164">
        <v>1813080.0</v>
      </c>
      <c r="F15" s="161">
        <f t="shared" si="4"/>
        <v>2157565.2</v>
      </c>
      <c r="G15" s="158">
        <f t="shared" si="7"/>
        <v>1018.114154</v>
      </c>
      <c r="H15" s="165">
        <f t="shared" si="3"/>
        <v>3970645.2</v>
      </c>
      <c r="I15" s="151" t="s">
        <v>16</v>
      </c>
      <c r="J15" s="151" t="s">
        <v>229</v>
      </c>
      <c r="K15" s="147" t="s">
        <v>350</v>
      </c>
    </row>
    <row r="16">
      <c r="A16" s="147" t="s">
        <v>351</v>
      </c>
      <c r="B16" s="151" t="s">
        <v>251</v>
      </c>
      <c r="C16" s="149" t="s">
        <v>252</v>
      </c>
      <c r="D16" s="151" t="s">
        <v>253</v>
      </c>
      <c r="E16" s="161">
        <v>113670.0</v>
      </c>
      <c r="F16" s="161">
        <f t="shared" si="4"/>
        <v>135267.3</v>
      </c>
      <c r="G16" s="158">
        <f t="shared" si="7"/>
        <v>63.83007692</v>
      </c>
      <c r="H16" s="165">
        <f t="shared" si="3"/>
        <v>248937.3</v>
      </c>
      <c r="I16" s="151" t="s">
        <v>16</v>
      </c>
      <c r="J16" s="151" t="s">
        <v>254</v>
      </c>
      <c r="K16" s="147" t="s">
        <v>352</v>
      </c>
    </row>
    <row r="17">
      <c r="A17" s="147" t="s">
        <v>271</v>
      </c>
      <c r="B17" s="151" t="s">
        <v>273</v>
      </c>
      <c r="C17" s="149" t="s">
        <v>274</v>
      </c>
      <c r="D17" s="151" t="s">
        <v>275</v>
      </c>
      <c r="E17" s="164">
        <v>1378800.0</v>
      </c>
      <c r="F17" s="161">
        <f t="shared" si="4"/>
        <v>1640772</v>
      </c>
      <c r="G17" s="158">
        <f t="shared" si="7"/>
        <v>774.2492308</v>
      </c>
      <c r="H17" s="165">
        <f t="shared" si="3"/>
        <v>3019572</v>
      </c>
      <c r="I17" s="151" t="s">
        <v>16</v>
      </c>
      <c r="J17" s="151" t="s">
        <v>276</v>
      </c>
      <c r="K17" s="147" t="s">
        <v>353</v>
      </c>
    </row>
    <row r="18">
      <c r="A18" s="173" t="s">
        <v>292</v>
      </c>
      <c r="B18" s="43" t="s">
        <v>290</v>
      </c>
      <c r="C18" s="13" t="s">
        <v>291</v>
      </c>
      <c r="D18" s="174" t="s">
        <v>292</v>
      </c>
      <c r="E18" s="175">
        <v>1350972.0</v>
      </c>
      <c r="F18" s="175">
        <f t="shared" si="4"/>
        <v>1607656.68</v>
      </c>
      <c r="G18" s="159">
        <f t="shared" si="7"/>
        <v>758.6227385</v>
      </c>
      <c r="H18" s="176">
        <f t="shared" si="3"/>
        <v>2958628.68</v>
      </c>
      <c r="I18" s="43" t="s">
        <v>16</v>
      </c>
      <c r="J18" s="43" t="s">
        <v>293</v>
      </c>
      <c r="K18" s="173" t="s">
        <v>354</v>
      </c>
    </row>
  </sheetData>
  <mergeCells count="1">
    <mergeCell ref="A2:J2"/>
  </mergeCells>
  <hyperlinks>
    <hyperlink r:id="rId1" ref="C5"/>
    <hyperlink r:id="rId2" location="origin%3Dshare%26sid%3Dshare%26wid%3DMCO1415235253" ref="C6"/>
    <hyperlink r:id="rId3" ref="C7"/>
    <hyperlink r:id="rId4" ref="C8"/>
    <hyperlink r:id="rId5" ref="C9"/>
    <hyperlink r:id="rId6" location="origin%3Dshare%26sid%3Dshare%26wid%3DMCO2208918320" ref="C10"/>
    <hyperlink r:id="rId7" ref="C11"/>
    <hyperlink r:id="rId8" ref="C12"/>
    <hyperlink r:id="rId9" ref="C13"/>
    <hyperlink r:id="rId10" ref="C14"/>
    <hyperlink r:id="rId11" ref="C15"/>
    <hyperlink r:id="rId12" ref="C16"/>
    <hyperlink r:id="rId13" ref="C17"/>
    <hyperlink r:id="rId14" ref="C18"/>
  </hyperlinks>
  <drawing r:id="rId1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2010-11-08T17:12:41Z</dcterms:created>
  <dc:creator>Administrador</dc:creator>
</cp:coreProperties>
</file>