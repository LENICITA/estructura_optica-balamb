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esktop\_docs_\trim2\01_estimacion_costos\"/>
    </mc:Choice>
  </mc:AlternateContent>
  <xr:revisionPtr revIDLastSave="0" documentId="13_ncr:1_{8488426F-50CE-427D-A7A3-01B9ED8B48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- AYUDA -" sheetId="1" r:id="rId1"/>
    <sheet name="Precios " sheetId="2" r:id="rId2"/>
    <sheet name="Soporte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+z/l/uQOYDJL2jOZcPeWXbxfjSY/XQgD1YSbATWU0O4="/>
    </ext>
  </extLst>
</workbook>
</file>

<file path=xl/calcChain.xml><?xml version="1.0" encoding="utf-8"?>
<calcChain xmlns="http://schemas.openxmlformats.org/spreadsheetml/2006/main">
  <c r="I23" i="2" l="1"/>
  <c r="H23" i="2"/>
  <c r="G23" i="2"/>
  <c r="F23" i="2"/>
  <c r="E23" i="2"/>
  <c r="D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</calcChain>
</file>

<file path=xl/sharedStrings.xml><?xml version="1.0" encoding="utf-8"?>
<sst xmlns="http://schemas.openxmlformats.org/spreadsheetml/2006/main" count="73" uniqueCount="60">
  <si>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</si>
  <si>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</si>
  <si>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</si>
  <si>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</si>
  <si>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</si>
  <si>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</si>
  <si>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Falabella</t>
  </si>
  <si>
    <t>Alkosto</t>
  </si>
  <si>
    <t>Mercado Libre</t>
  </si>
  <si>
    <t>PROVEEDOR 4</t>
  </si>
  <si>
    <t>PROVEEDOR 5</t>
  </si>
  <si>
    <t>PROVEEDOR 6</t>
  </si>
  <si>
    <t>PRECIO MÁS BAJO</t>
  </si>
  <si>
    <t>PRECIO PROMEDIO</t>
  </si>
  <si>
    <t>PRECIO MÁS ALTO</t>
  </si>
  <si>
    <t xml:space="preserve">Torre admin
</t>
  </si>
  <si>
    <t>Monitor admin</t>
  </si>
  <si>
    <t>Disco solido admin</t>
  </si>
  <si>
    <t>Disco duro interno admin</t>
  </si>
  <si>
    <t>Servidor admin</t>
  </si>
  <si>
    <t>Ram amin</t>
  </si>
  <si>
    <t>Teclado admin</t>
  </si>
  <si>
    <t>Mouse admin</t>
  </si>
  <si>
    <t>Software licencia</t>
  </si>
  <si>
    <t>Licencia visual</t>
  </si>
  <si>
    <t>Licencia SQL</t>
  </si>
  <si>
    <t>Hosting y dominio</t>
  </si>
  <si>
    <t>Frontend</t>
  </si>
  <si>
    <t>Backend</t>
  </si>
  <si>
    <t>Total</t>
  </si>
  <si>
    <t>DATOS ADICIONALES</t>
  </si>
  <si>
    <t>TIEMPO DE ENTREGA (DÍAS)</t>
  </si>
  <si>
    <t>Horas de dia los 7 dias de la semana</t>
  </si>
  <si>
    <t>de 3 a 5 minutos</t>
  </si>
  <si>
    <t>3 a 10 dias habiles</t>
  </si>
  <si>
    <t>entrega de 2  dias habiles</t>
  </si>
  <si>
    <t>1 a 5 dias habiles</t>
  </si>
  <si>
    <t>5 dias laborales</t>
  </si>
  <si>
    <t>COSTO DE ENVÍO</t>
  </si>
  <si>
    <t>$ 7.055</t>
  </si>
  <si>
    <t>$287.497</t>
  </si>
  <si>
    <t>$295.39</t>
  </si>
  <si>
    <t>FORMAS DE PAGO</t>
  </si>
  <si>
    <t>contado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</si>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</sst>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\ #,##0.00"/>
    <numFmt numFmtId="165" formatCode="&quot;$&quot;\ #,##0.00;[Red]\-&quot;$&quot;\ #,##0.00"/>
  </numFmts>
  <fonts count="21">
    <font>
      <sz val="8"/>
      <color theme="1"/>
      <name val="Arial"/>
      <scheme val="minor"/>
    </font>
    <font>
      <sz val="12"/>
      <color theme="1"/>
      <name val="Calibri"/>
    </font>
    <font>
      <sz val="8"/>
      <color theme="1"/>
      <name val="Arial"/>
    </font>
    <font>
      <b/>
      <sz val="22"/>
      <color rgb="FF3F3F3F"/>
      <name val="Calibri"/>
    </font>
    <font>
      <sz val="10"/>
      <color theme="1"/>
      <name val="Calibri"/>
    </font>
    <font>
      <sz val="16"/>
      <color rgb="FF7F7F7F"/>
      <name val="Calibri"/>
    </font>
    <font>
      <sz val="20"/>
      <color theme="1"/>
      <name val="Calibri"/>
    </font>
    <font>
      <b/>
      <sz val="14"/>
      <color theme="0"/>
      <name val="Calibri"/>
    </font>
    <font>
      <sz val="8"/>
      <name val="Arial"/>
    </font>
    <font>
      <b/>
      <sz val="14"/>
      <color rgb="FF8745EC"/>
      <name val="Calibri"/>
    </font>
    <font>
      <sz val="14"/>
      <color rgb="FF595959"/>
      <name val="Calibri"/>
    </font>
    <font>
      <b/>
      <sz val="14"/>
      <color rgb="FF595959"/>
      <name val="Calibri"/>
    </font>
    <font>
      <b/>
      <sz val="14"/>
      <color rgb="FF7F7F7F"/>
      <name val="Calibri"/>
    </font>
    <font>
      <sz val="10"/>
      <color theme="1"/>
      <name val="Trebuchet MS"/>
    </font>
    <font>
      <sz val="10"/>
      <color theme="1"/>
      <name val="Arial"/>
      <scheme val="minor"/>
    </font>
    <font>
      <sz val="10"/>
      <color rgb="FFFF0000"/>
      <name val="Calibri"/>
    </font>
    <font>
      <sz val="8"/>
      <color rgb="FF595959"/>
      <name val="Calibri"/>
    </font>
    <font>
      <sz val="11"/>
      <color rgb="FF4D5156"/>
      <name val="Arial"/>
    </font>
    <font>
      <sz val="18"/>
      <color rgb="FF000000"/>
      <name val="Proxima Nova"/>
    </font>
    <font>
      <sz val="11"/>
      <color rgb="FF000000"/>
      <name val="Arial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8745EC"/>
        <bgColor rgb="FF8745EC"/>
      </patternFill>
    </fill>
    <fill>
      <patternFill patternType="solid">
        <fgColor theme="0"/>
        <bgColor theme="0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rgb="FF8745EC"/>
      </left>
      <right/>
      <top style="medium">
        <color rgb="FF8745EC"/>
      </top>
      <bottom style="thin">
        <color theme="0"/>
      </bottom>
      <diagonal/>
    </border>
    <border>
      <left/>
      <right/>
      <top style="medium">
        <color rgb="FF8745EC"/>
      </top>
      <bottom style="thin">
        <color theme="0"/>
      </bottom>
      <diagonal/>
    </border>
    <border>
      <left/>
      <right style="medium">
        <color rgb="FF8745EC"/>
      </right>
      <top style="medium">
        <color rgb="FF8745EC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8745EC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rgb="FF8745EC"/>
      </right>
      <top style="thin">
        <color theme="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8745EC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A5A5A5"/>
      </right>
      <top style="thin">
        <color rgb="FF7F7F7F"/>
      </top>
      <bottom style="thin">
        <color rgb="FF7F7F7F"/>
      </bottom>
      <diagonal/>
    </border>
    <border>
      <left style="thin">
        <color rgb="FFA5A5A5"/>
      </left>
      <right/>
      <top style="thin">
        <color rgb="FF7F7F7F"/>
      </top>
      <bottom style="thin">
        <color rgb="FF7F7F7F"/>
      </bottom>
      <diagonal/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A5A5A5"/>
      </right>
      <top/>
      <bottom style="thin">
        <color rgb="FF7F7F7F"/>
      </bottom>
      <diagonal/>
    </border>
    <border>
      <left style="thin">
        <color rgb="FFA5A5A5"/>
      </left>
      <right style="thin">
        <color rgb="FFA5A5A5"/>
      </right>
      <top/>
      <bottom style="thin">
        <color rgb="FF7F7F7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  <diagonal/>
    </border>
    <border>
      <left style="thin">
        <color theme="0"/>
      </left>
      <right/>
      <top/>
      <bottom/>
      <diagonal/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  <diagonal/>
    </border>
    <border>
      <left style="thin">
        <color rgb="FF7F7F7F"/>
      </left>
      <right style="thin">
        <color rgb="FFA5A5A5"/>
      </right>
      <top style="dotted">
        <color rgb="FFA5A5A5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A5A5A5"/>
      </right>
      <top style="dotted">
        <color rgb="FFA5A5A5"/>
      </top>
      <bottom style="thin">
        <color rgb="FF7F7F7F"/>
      </bottom>
      <diagonal/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  <diagonal/>
    </border>
    <border>
      <left/>
      <right style="thin">
        <color rgb="FFFFFF66"/>
      </right>
      <top/>
      <bottom/>
      <diagonal/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  <diagonal/>
    </border>
    <border>
      <left style="thin">
        <color rgb="FFFFFF66"/>
      </left>
      <right/>
      <top/>
      <bottom/>
      <diagonal/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  <diagonal/>
    </border>
    <border>
      <left/>
      <right/>
      <top style="dotted">
        <color rgb="FFF2F2F2"/>
      </top>
      <bottom style="medium">
        <color rgb="FFF2F2F2"/>
      </bottom>
      <diagonal/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  <diagonal/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  <diagonal/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3" borderId="1" xfId="0" applyFont="1" applyFill="1" applyBorder="1"/>
    <xf numFmtId="0" fontId="4" fillId="0" borderId="0" xfId="0" applyFont="1"/>
    <xf numFmtId="0" fontId="2" fillId="2" borderId="2" xfId="0" applyFont="1" applyFill="1" applyBorder="1"/>
    <xf numFmtId="0" fontId="5" fillId="0" borderId="0" xfId="0" applyFont="1" applyAlignment="1">
      <alignment vertical="top"/>
    </xf>
    <xf numFmtId="0" fontId="6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3" borderId="10" xfId="0" applyFont="1" applyFill="1" applyBorder="1"/>
    <xf numFmtId="0" fontId="4" fillId="0" borderId="11" xfId="0" applyFont="1" applyBorder="1" applyAlignment="1">
      <alignment horizontal="center" vertical="center" wrapText="1"/>
    </xf>
    <xf numFmtId="2" fontId="10" fillId="4" borderId="11" xfId="0" applyNumberFormat="1" applyFont="1" applyFill="1" applyBorder="1" applyAlignment="1">
      <alignment horizontal="center" vertical="center"/>
    </xf>
    <xf numFmtId="164" fontId="10" fillId="4" borderId="11" xfId="0" applyNumberFormat="1" applyFont="1" applyFill="1" applyBorder="1" applyAlignment="1">
      <alignment horizontal="center" vertical="center"/>
    </xf>
    <xf numFmtId="164" fontId="10" fillId="4" borderId="11" xfId="0" applyNumberFormat="1" applyFont="1" applyFill="1" applyBorder="1" applyAlignment="1">
      <alignment horizontal="center" vertical="center"/>
    </xf>
    <xf numFmtId="164" fontId="11" fillId="4" borderId="11" xfId="0" applyNumberFormat="1" applyFont="1" applyFill="1" applyBorder="1" applyAlignment="1">
      <alignment horizontal="center" vertical="center"/>
    </xf>
    <xf numFmtId="164" fontId="12" fillId="5" borderId="11" xfId="0" applyNumberFormat="1" applyFont="1" applyFill="1" applyBorder="1" applyAlignment="1">
      <alignment horizontal="center" vertical="center"/>
    </xf>
    <xf numFmtId="0" fontId="1" fillId="3" borderId="12" xfId="0" applyFont="1" applyFill="1" applyBorder="1"/>
    <xf numFmtId="0" fontId="1" fillId="3" borderId="1" xfId="0" applyFont="1" applyFill="1" applyBorder="1"/>
    <xf numFmtId="0" fontId="13" fillId="0" borderId="11" xfId="0" applyFont="1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5" fillId="0" borderId="0" xfId="0" applyFont="1"/>
    <xf numFmtId="0" fontId="11" fillId="5" borderId="11" xfId="0" applyFont="1" applyFill="1" applyBorder="1" applyAlignment="1">
      <alignment horizontal="center" vertical="center"/>
    </xf>
    <xf numFmtId="164" fontId="11" fillId="5" borderId="11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0" fontId="4" fillId="3" borderId="13" xfId="0" applyFont="1" applyFill="1" applyBorder="1"/>
    <xf numFmtId="0" fontId="9" fillId="0" borderId="6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0" fontId="17" fillId="0" borderId="0" xfId="0" applyFont="1"/>
    <xf numFmtId="164" fontId="10" fillId="0" borderId="20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4" fillId="3" borderId="10" xfId="0" applyFont="1" applyFill="1" applyBorder="1"/>
    <xf numFmtId="164" fontId="10" fillId="0" borderId="25" xfId="0" applyNumberFormat="1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4" fontId="11" fillId="0" borderId="29" xfId="0" applyNumberFormat="1" applyFont="1" applyBorder="1" applyAlignment="1">
      <alignment horizontal="center" vertical="center"/>
    </xf>
    <xf numFmtId="4" fontId="11" fillId="0" borderId="28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wrapTex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65" fontId="19" fillId="0" borderId="0" xfId="0" applyNumberFormat="1" applyFont="1" applyAlignment="1">
      <alignment vertical="center" wrapText="1"/>
    </xf>
    <xf numFmtId="165" fontId="19" fillId="0" borderId="34" xfId="0" applyNumberFormat="1" applyFont="1" applyBorder="1" applyAlignment="1">
      <alignment vertical="center" wrapText="1"/>
    </xf>
    <xf numFmtId="165" fontId="20" fillId="0" borderId="35" xfId="0" applyNumberFormat="1" applyFont="1" applyBorder="1" applyAlignment="1">
      <alignment vertical="center" wrapText="1"/>
    </xf>
    <xf numFmtId="165" fontId="19" fillId="0" borderId="36" xfId="0" applyNumberFormat="1" applyFont="1" applyBorder="1" applyAlignment="1">
      <alignment vertical="center" wrapText="1"/>
    </xf>
    <xf numFmtId="165" fontId="20" fillId="0" borderId="37" xfId="0" applyNumberFormat="1" applyFont="1" applyBorder="1" applyAlignment="1">
      <alignment vertical="center" wrapText="1"/>
    </xf>
    <xf numFmtId="164" fontId="10" fillId="0" borderId="38" xfId="0" applyNumberFormat="1" applyFont="1" applyBorder="1" applyAlignment="1">
      <alignment horizontal="center" vertical="center"/>
    </xf>
    <xf numFmtId="2" fontId="10" fillId="0" borderId="38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4" fontId="11" fillId="0" borderId="40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9" fillId="0" borderId="0" xfId="0" applyFont="1"/>
    <xf numFmtId="165" fontId="20" fillId="6" borderId="42" xfId="0" applyNumberFormat="1" applyFont="1" applyFill="1" applyBorder="1" applyAlignment="1">
      <alignment vertical="center" wrapText="1"/>
    </xf>
    <xf numFmtId="165" fontId="20" fillId="6" borderId="43" xfId="0" applyNumberFormat="1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8" fillId="0" borderId="15" xfId="0" applyFont="1" applyBorder="1"/>
    <xf numFmtId="0" fontId="9" fillId="4" borderId="16" xfId="0" applyFont="1" applyFill="1" applyBorder="1" applyAlignment="1">
      <alignment horizontal="center" vertical="center" wrapText="1"/>
    </xf>
    <xf numFmtId="0" fontId="8" fillId="0" borderId="17" xfId="0" applyFont="1" applyBorder="1"/>
    <xf numFmtId="0" fontId="9" fillId="4" borderId="23" xfId="0" applyFont="1" applyFill="1" applyBorder="1" applyAlignment="1">
      <alignment horizontal="center" vertical="center" wrapText="1"/>
    </xf>
    <xf numFmtId="0" fontId="8" fillId="0" borderId="24" xfId="0" applyFont="1" applyBorder="1"/>
    <xf numFmtId="0" fontId="8" fillId="0" borderId="27" xfId="0" applyFont="1" applyBorder="1"/>
    <xf numFmtId="0" fontId="0" fillId="0" borderId="0" xfId="0" applyFont="1" applyAlignment="1"/>
    <xf numFmtId="0" fontId="8" fillId="0" borderId="30" xfId="0" applyFont="1" applyBorder="1"/>
    <xf numFmtId="0" fontId="8" fillId="0" borderId="31" xfId="0" applyFont="1" applyBorder="1"/>
  </cellXfs>
  <cellStyles count="1">
    <cellStyle name="Normal" xfId="0" builtinId="0"/>
  </cellStyles>
  <dxfs count="9">
    <dxf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border>
        <left style="thin">
          <color rgb="FFF8F3FF"/>
        </left>
        <right style="thin">
          <color rgb="FFF8F3FF"/>
        </right>
        <top style="thin">
          <color rgb="FFF8F3FF"/>
        </top>
        <bottom style="thin">
          <color rgb="FFF8F3FF"/>
        </bottom>
      </border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3FF"/>
          <bgColor rgb="FFF8F3FF"/>
        </patternFill>
      </fill>
    </dxf>
  </dxfs>
  <tableStyles count="1">
    <tableStyle name="Precios -style" pivot="0" count="5" xr9:uid="{00000000-0011-0000-FFFF-FFFF00000000}">
      <tableStyleElement type="wholeTable" size="0" dxfId="4"/>
      <tableStyleElement type="headerRow" dxfId="8"/>
      <tableStyleElement type="totalRow" dxfId="5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4</xdr:row>
      <xdr:rowOff>133350</xdr:rowOff>
    </xdr:from>
    <xdr:ext cx="8020050" cy="6134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40738" y="717713"/>
          <a:ext cx="8010525" cy="61245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la plantilla de excel de comparación de precios entre proveedores le permitirá saber que proveedor le da el mejor precio para cada producto que quiera comprar.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solidFill>
              <a:srgbClr val="595959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Para usarla, sigue estos pasos: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solidFill>
              <a:srgbClr val="595959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 b="1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solidFill>
              <a:srgbClr val="595959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 b="1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solidFill>
              <a:srgbClr val="595959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 b="1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b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b="0" i="1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 b="0" i="1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 b="1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sz="11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 b="1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66675</xdr:colOff>
      <xdr:row>0</xdr:row>
      <xdr:rowOff>95250</xdr:rowOff>
    </xdr:from>
    <xdr:ext cx="6619875" cy="762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040825" y="3403763"/>
          <a:ext cx="6610350" cy="752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lang="en-US" sz="2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409575</xdr:colOff>
      <xdr:row>0</xdr:row>
      <xdr:rowOff>95250</xdr:rowOff>
    </xdr:from>
    <xdr:ext cx="2009775" cy="762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345875" y="3403763"/>
          <a:ext cx="2000250" cy="752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DCF8F0"/>
            </a:buClr>
            <a:buSzPts val="1400"/>
            <a:buFont typeface="Arial Rounded"/>
            <a:buNone/>
          </a:pPr>
          <a:r>
            <a:rPr lang="en-US" sz="1400" b="1">
              <a:solidFill>
                <a:srgbClr val="DCF8F0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686675" cy="7524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507425" y="3408525"/>
          <a:ext cx="7677150" cy="742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lang="en-US" sz="2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2400" b="1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1095375</xdr:colOff>
      <xdr:row>1</xdr:row>
      <xdr:rowOff>133350</xdr:rowOff>
    </xdr:from>
    <xdr:ext cx="3019425" cy="4762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841050" y="3546638"/>
          <a:ext cx="3009900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F8F3FF"/>
            </a:buClr>
            <a:buSzPts val="1400"/>
            <a:buFont typeface="Arial Rounded"/>
            <a:buNone/>
          </a:pPr>
          <a:r>
            <a:rPr lang="en-US" sz="1400" b="1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8:L23" totalsRowCount="1">
  <tableColumns count="11">
    <tableColumn id="1" xr3:uid="{00000000-0010-0000-0000-000001000000}" name="PRODUCTO" totalsRowLabel="Total"/>
    <tableColumn id="2" xr3:uid="{00000000-0010-0000-0000-000002000000}" name="CANTIDAD"/>
    <tableColumn id="3" xr3:uid="{00000000-0010-0000-0000-000003000000}" name="Falabella" totalsRowFunction="custom">
      <totalsRowFormula>ROUND(SUMPRODUCT('Precios '!$C$9:$C$22,'Precios '!$D$9:$D$22),2)</totalsRowFormula>
    </tableColumn>
    <tableColumn id="4" xr3:uid="{00000000-0010-0000-0000-000004000000}" name="Alkosto" totalsRowFunction="custom">
      <totalsRowFormula>ROUND(SUMPRODUCT('Precios '!$C$9:$C$22,'Precios '!$E$9:$E$22),2)</totalsRowFormula>
    </tableColumn>
    <tableColumn id="5" xr3:uid="{00000000-0010-0000-0000-000005000000}" name="Mercado Libre" totalsRowFunction="custom">
      <totalsRowFormula>ROUND(SUMPRODUCT('Precios '!$C$9:$C$22,'Precios '!$F$9:$F$22),2)</totalsRowFormula>
    </tableColumn>
    <tableColumn id="6" xr3:uid="{00000000-0010-0000-0000-000006000000}" name="PROVEEDOR 4" totalsRowFunction="custom">
      <totalsRowFormula>ROUND(SUMPRODUCT('Precios '!$C$9:$C$19,'Precios '!$G$9:$G$19),2)</totalsRowFormula>
    </tableColumn>
    <tableColumn id="7" xr3:uid="{00000000-0010-0000-0000-000007000000}" name="PROVEEDOR 5" totalsRowFunction="custom">
      <totalsRowFormula>ROUND(SUMPRODUCT('Precios '!$C$9:$C$19,'Precios '!$H$9:$H$19),2)</totalsRowFormula>
    </tableColumn>
    <tableColumn id="8" xr3:uid="{00000000-0010-0000-0000-000008000000}" name="PROVEEDOR 6" totalsRowFunction="custom">
      <totalsRowFormula>ROUND(SUMPRODUCT('Precios '!$C$9:$C$19,'Precios '!$I$9:$I$19),2)</totalsRowFormula>
    </tableColumn>
    <tableColumn id="9" xr3:uid="{00000000-0010-0000-0000-000009000000}" name="PRECIO MÁS BAJO"/>
    <tableColumn id="10" xr3:uid="{00000000-0010-0000-0000-00000A000000}" name="PRECIO PROMEDIO"/>
    <tableColumn id="11" xr3:uid="{00000000-0010-0000-0000-00000B000000}" name="PRECIO MÁS ALTO"/>
  </tableColumns>
  <tableStyleInfo name="Precios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baseColWidth="10" defaultColWidth="16.83203125" defaultRowHeight="15" customHeight="1"/>
  <cols>
    <col min="1" max="1" width="4.83203125" customWidth="1"/>
    <col min="2" max="11" width="22" customWidth="1"/>
    <col min="12" max="22" width="12" customWidth="1"/>
  </cols>
  <sheetData>
    <row r="1" spans="1:26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6.83203125" defaultRowHeight="15" customHeight="1"/>
  <cols>
    <col min="1" max="1" width="4" customWidth="1"/>
    <col min="2" max="2" width="23.5" customWidth="1"/>
    <col min="3" max="3" width="31.5" customWidth="1"/>
    <col min="4" max="4" width="27.5" customWidth="1"/>
    <col min="5" max="5" width="23.33203125" customWidth="1"/>
    <col min="6" max="6" width="25.1640625" customWidth="1"/>
    <col min="7" max="7" width="32.5" customWidth="1"/>
    <col min="8" max="9" width="22.1640625" customWidth="1"/>
    <col min="10" max="10" width="27.33203125" customWidth="1"/>
    <col min="11" max="11" width="23.5" customWidth="1"/>
    <col min="12" max="12" width="24.83203125" customWidth="1"/>
    <col min="13" max="13" width="20.5" customWidth="1"/>
    <col min="14" max="14" width="20.6640625" customWidth="1"/>
    <col min="15" max="26" width="9.33203125" customWidth="1"/>
  </cols>
  <sheetData>
    <row r="1" spans="1:26" ht="1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4.75" customHeight="1">
      <c r="A7" s="5"/>
      <c r="B7" s="5"/>
      <c r="C7" s="5"/>
      <c r="D7" s="5"/>
      <c r="E7" s="5"/>
      <c r="F7" s="5"/>
      <c r="G7" s="5"/>
      <c r="H7" s="5"/>
      <c r="I7" s="5"/>
      <c r="J7" s="70" t="s">
        <v>3</v>
      </c>
      <c r="K7" s="71"/>
      <c r="L7" s="7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6.5" customHeight="1">
      <c r="A8" s="10"/>
      <c r="B8" s="11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2" t="s">
        <v>12</v>
      </c>
      <c r="K8" s="13" t="s">
        <v>13</v>
      </c>
      <c r="L8" s="14" t="s">
        <v>14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75" customHeight="1">
      <c r="A9" s="15"/>
      <c r="B9" s="16" t="s">
        <v>15</v>
      </c>
      <c r="C9" s="17">
        <v>5</v>
      </c>
      <c r="D9" s="18">
        <v>950810</v>
      </c>
      <c r="E9" s="18">
        <v>702088</v>
      </c>
      <c r="F9" s="18">
        <v>1150899</v>
      </c>
      <c r="G9" s="19"/>
      <c r="H9" s="19"/>
      <c r="I9" s="20"/>
      <c r="J9" s="21">
        <f>MIN('Precios '!$D9:$I9)</f>
        <v>702088</v>
      </c>
      <c r="K9" s="21">
        <f>AVERAGE('Precios '!$D9:$F9)</f>
        <v>934599</v>
      </c>
      <c r="L9" s="21">
        <f>MAX('Precios '!$D9:$I9)</f>
        <v>1150899</v>
      </c>
      <c r="M9" s="2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81" customHeight="1">
      <c r="A10" s="15"/>
      <c r="B10" s="24" t="s">
        <v>16</v>
      </c>
      <c r="C10" s="25">
        <v>5</v>
      </c>
      <c r="D10" s="26">
        <v>618681</v>
      </c>
      <c r="E10" s="26">
        <v>1070881</v>
      </c>
      <c r="F10" s="26">
        <v>485520</v>
      </c>
      <c r="G10" s="27"/>
      <c r="H10" s="27"/>
      <c r="I10" s="27"/>
      <c r="J10" s="21">
        <f>MIN('Precios '!$D10:$I10)</f>
        <v>485520</v>
      </c>
      <c r="K10" s="21">
        <f>IFERROR(AVERAGE('Precios '!$D10:$F10),"")</f>
        <v>725027.33333333337</v>
      </c>
      <c r="L10" s="21">
        <f>MAX('Precios '!$D10:$I10)</f>
        <v>1070881</v>
      </c>
      <c r="M10" s="22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52.5" customHeight="1">
      <c r="A11" s="15"/>
      <c r="B11" s="24" t="s">
        <v>17</v>
      </c>
      <c r="C11" s="25">
        <v>5</v>
      </c>
      <c r="D11" s="26">
        <v>638316</v>
      </c>
      <c r="E11" s="26">
        <v>571081</v>
      </c>
      <c r="F11" s="26">
        <v>452081</v>
      </c>
      <c r="G11" s="27"/>
      <c r="H11" s="27"/>
      <c r="I11" s="27"/>
      <c r="J11" s="21">
        <f>MIN('Precios '!$D11:$I11)</f>
        <v>452081</v>
      </c>
      <c r="K11" s="21">
        <f>AVERAGE('Precios '!$D11:$F11)</f>
        <v>553826</v>
      </c>
      <c r="L11" s="21">
        <f>MAX('Precios '!$D11:$I11)</f>
        <v>638316</v>
      </c>
      <c r="M11" s="2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51" customHeight="1">
      <c r="A12" s="15"/>
      <c r="B12" s="24" t="s">
        <v>18</v>
      </c>
      <c r="C12" s="25">
        <v>5</v>
      </c>
      <c r="D12" s="26">
        <v>178381</v>
      </c>
      <c r="E12" s="26">
        <v>523481</v>
      </c>
      <c r="F12" s="26">
        <v>200991</v>
      </c>
      <c r="G12" s="27"/>
      <c r="H12" s="27"/>
      <c r="I12" s="27"/>
      <c r="J12" s="21">
        <f>MIN('Precios '!$D12:$I12)</f>
        <v>178381</v>
      </c>
      <c r="K12" s="21">
        <f>IFERROR(AVERAGE('Precios '!$D12:$F12),"")</f>
        <v>300951</v>
      </c>
      <c r="L12" s="21">
        <f>MAX('Precios '!$D12:$I12)</f>
        <v>523481</v>
      </c>
      <c r="M12" s="22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96.75" customHeight="1">
      <c r="A13" s="15"/>
      <c r="B13" s="24" t="s">
        <v>19</v>
      </c>
      <c r="C13" s="25">
        <v>1</v>
      </c>
      <c r="D13" s="26">
        <v>9127145.3000000007</v>
      </c>
      <c r="E13" s="26">
        <v>7852810</v>
      </c>
      <c r="F13" s="26">
        <v>10505830.51</v>
      </c>
      <c r="G13" s="27"/>
      <c r="H13" s="27"/>
      <c r="I13" s="27"/>
      <c r="J13" s="21">
        <f>MIN('Precios '!$D13:$I13)</f>
        <v>7852810</v>
      </c>
      <c r="K13" s="21">
        <f>IFERROR(AVERAGE('Precios '!$D13:$F13),"")</f>
        <v>9161928.6033333335</v>
      </c>
      <c r="L13" s="21">
        <f>MAX('Precios '!$D13:$I13)</f>
        <v>10505830.51</v>
      </c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91.5" customHeight="1">
      <c r="A14" s="15"/>
      <c r="B14" s="28" t="s">
        <v>20</v>
      </c>
      <c r="C14" s="25">
        <v>5</v>
      </c>
      <c r="D14" s="26">
        <v>172550</v>
      </c>
      <c r="E14" s="26">
        <v>208250</v>
      </c>
      <c r="F14" s="26">
        <v>296310</v>
      </c>
      <c r="G14" s="27"/>
      <c r="H14" s="27"/>
      <c r="I14" s="27"/>
      <c r="J14" s="21">
        <f>MIN('Precios '!$D14:$I14)</f>
        <v>172550</v>
      </c>
      <c r="K14" s="21">
        <f>IFERROR(AVERAGE('Precios '!$D14:$F14),"")</f>
        <v>225703.33333333334</v>
      </c>
      <c r="L14" s="21">
        <f>MAX('Precios '!$D14:$I14)</f>
        <v>296310</v>
      </c>
      <c r="M14" s="22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78" customHeight="1">
      <c r="A15" s="15"/>
      <c r="B15" s="28" t="s">
        <v>21</v>
      </c>
      <c r="C15" s="25">
        <v>5</v>
      </c>
      <c r="D15" s="26">
        <v>106981</v>
      </c>
      <c r="E15" s="26">
        <v>71281</v>
      </c>
      <c r="F15" s="26">
        <v>118881</v>
      </c>
      <c r="G15" s="27"/>
      <c r="H15" s="27"/>
      <c r="I15" s="27"/>
      <c r="J15" s="21">
        <f>MIN('Precios '!$D15:$I15)</f>
        <v>71281</v>
      </c>
      <c r="K15" s="21">
        <f>IFERROR(AVERAGE('Precios '!$D15:$F15),"")</f>
        <v>99047.666666666672</v>
      </c>
      <c r="L15" s="21">
        <f>MAX('Precios '!$D15:$I15)</f>
        <v>118881</v>
      </c>
      <c r="M15" s="22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78" customHeight="1">
      <c r="A16" s="15"/>
      <c r="B16" s="28" t="s">
        <v>22</v>
      </c>
      <c r="C16" s="25">
        <v>5</v>
      </c>
      <c r="D16" s="26">
        <v>118881</v>
      </c>
      <c r="E16" s="26">
        <v>95081</v>
      </c>
      <c r="F16" s="26">
        <v>190162</v>
      </c>
      <c r="G16" s="27"/>
      <c r="H16" s="27"/>
      <c r="I16" s="27"/>
      <c r="J16" s="21">
        <f>MIN('Precios '!$D16:$I16)</f>
        <v>95081</v>
      </c>
      <c r="K16" s="21">
        <f>IFERROR(AVERAGE('Precios '!$D16:$F16),"")</f>
        <v>134708</v>
      </c>
      <c r="L16" s="21">
        <f>MAX('Precios '!$D16:$I16)</f>
        <v>190162</v>
      </c>
      <c r="M16" s="22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29.75" customHeight="1">
      <c r="A17" s="15"/>
      <c r="B17" s="29" t="s">
        <v>23</v>
      </c>
      <c r="C17" s="25">
        <v>5</v>
      </c>
      <c r="D17" s="26">
        <v>1307810</v>
      </c>
      <c r="E17" s="26">
        <v>714000</v>
      </c>
      <c r="F17" s="26">
        <v>452448</v>
      </c>
      <c r="G17" s="27"/>
      <c r="H17" s="27"/>
      <c r="I17" s="27"/>
      <c r="J17" s="21">
        <f>MIN('Precios '!$D17:$I17)</f>
        <v>452448</v>
      </c>
      <c r="K17" s="21">
        <f>IFERROR(AVERAGE('Precios '!$D17:$F17),"")</f>
        <v>824752.66666666663</v>
      </c>
      <c r="L17" s="21">
        <f>MAX('Precios '!$D17:$I17)</f>
        <v>1307810</v>
      </c>
      <c r="M17" s="2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75" customHeight="1">
      <c r="A18" s="15"/>
      <c r="B18" s="24" t="s">
        <v>24</v>
      </c>
      <c r="C18" s="25">
        <v>1</v>
      </c>
      <c r="D18" s="26">
        <v>6480457.9699999997</v>
      </c>
      <c r="E18" s="26">
        <v>107100</v>
      </c>
      <c r="F18" s="26">
        <v>0</v>
      </c>
      <c r="G18" s="27"/>
      <c r="H18" s="27"/>
      <c r="I18" s="27"/>
      <c r="J18" s="21">
        <f>MIN('Precios '!$D18:$I18)</f>
        <v>0</v>
      </c>
      <c r="K18" s="21">
        <f>IFERROR(AVERAGE('Precios '!$D18:$F18),"")</f>
        <v>2195852.6566666667</v>
      </c>
      <c r="L18" s="21">
        <f>MAX('Precios '!$D18:$I18)</f>
        <v>6480457.9699999997</v>
      </c>
      <c r="M18" s="2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60" customHeight="1">
      <c r="A19" s="15"/>
      <c r="B19" s="28" t="s">
        <v>25</v>
      </c>
      <c r="C19" s="25">
        <v>1</v>
      </c>
      <c r="D19" s="26">
        <v>2157565.2000000002</v>
      </c>
      <c r="E19" s="26">
        <v>4470000</v>
      </c>
      <c r="F19" s="26">
        <v>4748100</v>
      </c>
      <c r="G19" s="27"/>
      <c r="H19" s="27"/>
      <c r="I19" s="27"/>
      <c r="J19" s="21">
        <f>MIN('Precios '!$D19:$I19)</f>
        <v>2157565.2000000002</v>
      </c>
      <c r="K19" s="21">
        <f>IFERROR(AVERAGE('Precios '!$D19:$F19),"")</f>
        <v>3791888.4</v>
      </c>
      <c r="L19" s="21">
        <f>MAX('Precios '!$D19:$I19)</f>
        <v>4748100</v>
      </c>
      <c r="M19" s="22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64.5" customHeight="1">
      <c r="A20" s="15"/>
      <c r="B20" s="24" t="s">
        <v>26</v>
      </c>
      <c r="C20" s="25">
        <v>1</v>
      </c>
      <c r="D20" s="26">
        <v>325798.2</v>
      </c>
      <c r="E20" s="26">
        <v>135267.29999999999</v>
      </c>
      <c r="F20" s="26">
        <v>212058</v>
      </c>
      <c r="G20" s="27"/>
      <c r="H20" s="27"/>
      <c r="I20" s="27"/>
      <c r="J20" s="21">
        <f>MIN('Precios '!$D20:$I20)</f>
        <v>135267.29999999999</v>
      </c>
      <c r="K20" s="21">
        <f>IFERROR(AVERAGE('Precios '!$D20:$F20),"")</f>
        <v>224374.5</v>
      </c>
      <c r="L20" s="21">
        <f>MAX('Precios '!$D20:$I20)</f>
        <v>325798.2</v>
      </c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48.75" customHeight="1">
      <c r="A21" s="30"/>
      <c r="B21" s="24" t="s">
        <v>27</v>
      </c>
      <c r="C21" s="25">
        <v>1</v>
      </c>
      <c r="D21" s="26">
        <v>1640772</v>
      </c>
      <c r="E21" s="26">
        <v>1640772</v>
      </c>
      <c r="F21" s="26">
        <v>1640772</v>
      </c>
      <c r="G21" s="27"/>
      <c r="H21" s="27"/>
      <c r="I21" s="27"/>
      <c r="J21" s="21">
        <f>MIN('Precios '!$D21:$I21)</f>
        <v>1640772</v>
      </c>
      <c r="K21" s="21">
        <f>IFERROR(AVERAGE('Precios '!$D21:$F21),"")</f>
        <v>1640772</v>
      </c>
      <c r="L21" s="21">
        <f>MAX('Precios '!$D21:$I21)</f>
        <v>1640772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34.5" customHeight="1">
      <c r="A22" s="30"/>
      <c r="B22" s="24" t="s">
        <v>28</v>
      </c>
      <c r="C22" s="25">
        <v>1</v>
      </c>
      <c r="D22" s="26">
        <v>1607656.68</v>
      </c>
      <c r="E22" s="26">
        <v>1607656.68</v>
      </c>
      <c r="F22" s="26">
        <v>2050965</v>
      </c>
      <c r="G22" s="27"/>
      <c r="H22" s="27"/>
      <c r="I22" s="27"/>
      <c r="J22" s="21">
        <f>MIN('Precios '!$D22:$I22)</f>
        <v>1607656.68</v>
      </c>
      <c r="K22" s="21">
        <f>IFERROR(AVERAGE('Precios '!$D22:$F22),"")</f>
        <v>1755426.1199999999</v>
      </c>
      <c r="L22" s="21">
        <f>MAX('Precios '!$D22:$I22)</f>
        <v>2050965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48" customHeight="1">
      <c r="A23" s="30"/>
      <c r="B23" s="31" t="s">
        <v>29</v>
      </c>
      <c r="C23" s="31"/>
      <c r="D23" s="32">
        <f>ROUND(SUMPRODUCT('Precios '!$C$9:$C$22,'Precios '!$D$9:$D$22),2)</f>
        <v>41801445.350000001</v>
      </c>
      <c r="E23" s="32">
        <f>ROUND(SUMPRODUCT('Precios '!$C$9:$C$22,'Precios '!$E$9:$E$22),2)</f>
        <v>35594320.979999997</v>
      </c>
      <c r="F23" s="32">
        <f>ROUND(SUMPRODUCT('Precios '!$C$9:$C$22,'Precios '!$F$9:$F$22),2)</f>
        <v>35894185.509999998</v>
      </c>
      <c r="G23" s="32">
        <f>ROUND(SUMPRODUCT('Precios '!$C$9:$C$19,'Precios '!$G$9:$G$19),2)</f>
        <v>0</v>
      </c>
      <c r="H23" s="32">
        <f>ROUND(SUMPRODUCT('Precios '!$C$9:$C$19,'Precios '!$H$9:$H$19),2)</f>
        <v>0</v>
      </c>
      <c r="I23" s="32">
        <f>ROUND(SUMPRODUCT('Precios '!$C$9:$C$19,'Precios '!$I$9:$I$19),2)</f>
        <v>0</v>
      </c>
      <c r="J23" s="33"/>
      <c r="K23" s="33"/>
      <c r="L23" s="34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33" customHeight="1">
      <c r="A24" s="30"/>
      <c r="B24" s="35"/>
      <c r="C24" s="35"/>
      <c r="D24" s="35"/>
      <c r="E24" s="35"/>
      <c r="F24" s="35"/>
      <c r="G24" s="35"/>
      <c r="H24" s="35"/>
      <c r="I24" s="35"/>
      <c r="J24" s="35"/>
      <c r="K24" s="6"/>
      <c r="L24" s="6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25.5" customHeight="1">
      <c r="A25" s="30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8" customHeight="1">
      <c r="A26" s="30"/>
      <c r="B26" s="73" t="s">
        <v>30</v>
      </c>
      <c r="C26" s="74"/>
      <c r="D26" s="36"/>
      <c r="E26" s="36"/>
      <c r="F26" s="36"/>
      <c r="G26" s="36"/>
      <c r="H26" s="36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24.75" customHeight="1">
      <c r="A27" s="30"/>
      <c r="B27" s="75" t="s">
        <v>31</v>
      </c>
      <c r="C27" s="76"/>
      <c r="D27" s="37" t="s">
        <v>32</v>
      </c>
      <c r="E27" s="38" t="s">
        <v>33</v>
      </c>
      <c r="F27" s="39" t="s">
        <v>34</v>
      </c>
      <c r="G27" s="40" t="s">
        <v>35</v>
      </c>
      <c r="H27" s="38" t="s">
        <v>36</v>
      </c>
      <c r="I27" s="41" t="s">
        <v>37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24.75" customHeight="1">
      <c r="A28" s="30"/>
      <c r="B28" s="75" t="s">
        <v>38</v>
      </c>
      <c r="C28" s="76"/>
      <c r="D28" s="42">
        <v>0</v>
      </c>
      <c r="E28" s="43" t="s">
        <v>39</v>
      </c>
      <c r="F28" s="44" t="s">
        <v>40</v>
      </c>
      <c r="G28" s="45">
        <v>0</v>
      </c>
      <c r="H28" s="44" t="s">
        <v>41</v>
      </c>
      <c r="I28" s="44">
        <v>0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2.75" customHeight="1">
      <c r="A29" s="46"/>
      <c r="B29" s="77" t="s">
        <v>42</v>
      </c>
      <c r="C29" s="78"/>
      <c r="D29" s="47"/>
      <c r="E29" s="48"/>
      <c r="F29" s="48"/>
      <c r="G29" s="48"/>
      <c r="H29" s="48"/>
      <c r="I29" s="48"/>
      <c r="J29" s="30"/>
      <c r="K29" s="30"/>
      <c r="L29" s="30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9.5" customHeight="1">
      <c r="A30" s="46"/>
      <c r="B30" s="79"/>
      <c r="C30" s="80"/>
      <c r="D30" s="49"/>
      <c r="E30" s="49"/>
      <c r="F30" s="49"/>
      <c r="G30" s="49"/>
      <c r="H30" s="49"/>
      <c r="I30" s="49"/>
      <c r="J30" s="30"/>
      <c r="K30" s="30"/>
      <c r="L30" s="30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5.5" customHeight="1">
      <c r="A31" s="46"/>
      <c r="B31" s="79"/>
      <c r="C31" s="80"/>
      <c r="D31" s="50" t="s">
        <v>43</v>
      </c>
      <c r="E31" s="51" t="s">
        <v>43</v>
      </c>
      <c r="F31" s="51" t="s">
        <v>43</v>
      </c>
      <c r="G31" s="51" t="s">
        <v>43</v>
      </c>
      <c r="H31" s="51" t="s">
        <v>43</v>
      </c>
      <c r="I31" s="51" t="s">
        <v>43</v>
      </c>
      <c r="J31" s="30"/>
      <c r="K31" s="30"/>
      <c r="L31" s="3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46"/>
      <c r="B32" s="81"/>
      <c r="C32" s="82"/>
      <c r="D32" s="52"/>
      <c r="E32" s="53"/>
      <c r="F32" s="54"/>
      <c r="G32" s="54"/>
      <c r="H32" s="54"/>
      <c r="I32" s="54"/>
      <c r="J32" s="30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46"/>
      <c r="B33" s="35"/>
      <c r="C33" s="35"/>
      <c r="D33" s="5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5"/>
      <c r="E35" s="55"/>
      <c r="F35" s="56"/>
      <c r="G35" s="57"/>
      <c r="H35" s="58"/>
      <c r="I35" s="55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5"/>
      <c r="E36" s="55"/>
      <c r="F36" s="56"/>
      <c r="G36" s="59"/>
      <c r="H36" s="58"/>
      <c r="I36" s="55"/>
      <c r="J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5"/>
      <c r="E37" s="55"/>
      <c r="F37" s="56"/>
      <c r="G37" s="59"/>
      <c r="H37" s="58"/>
      <c r="I37" s="55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5"/>
      <c r="E38" s="55"/>
      <c r="F38" s="56"/>
      <c r="G38" s="59"/>
      <c r="H38" s="58"/>
      <c r="I38" s="55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5"/>
      <c r="E39" s="55"/>
      <c r="F39" s="56"/>
      <c r="G39" s="59"/>
      <c r="H39" s="58"/>
      <c r="I39" s="55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5"/>
      <c r="E40" s="55"/>
      <c r="F40" s="56"/>
      <c r="G40" s="59"/>
      <c r="H40" s="58"/>
      <c r="I40" s="55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</row>
    <row r="231" spans="1:26" ht="15.75" customHeight="1"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J7:L7"/>
    <mergeCell ref="B26:C26"/>
    <mergeCell ref="B27:C27"/>
    <mergeCell ref="B28:C28"/>
    <mergeCell ref="B29:C32"/>
  </mergeCells>
  <conditionalFormatting sqref="B8 C8:C9 D23:I23">
    <cfRule type="expression" dxfId="3" priority="1">
      <formula>AND(B$23=MIN($D$23:$I$23),B$23&lt;&gt;0)</formula>
    </cfRule>
  </conditionalFormatting>
  <conditionalFormatting sqref="D8:I9">
    <cfRule type="expression" dxfId="2" priority="2">
      <formula>AND(D$23=MIN($D$23:$I$23),D$23&lt;&gt;0)</formula>
    </cfRule>
  </conditionalFormatting>
  <conditionalFormatting sqref="D9:I23">
    <cfRule type="expression" dxfId="1" priority="3">
      <formula>AND(D$24=MIN($D$24:$I$24),D$24&lt;&gt;0)</formula>
    </cfRule>
  </conditionalFormatting>
  <pageMargins left="0.7" right="0.7" top="0.75" bottom="0.75" header="0" footer="0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/>
  </sheetViews>
  <sheetFormatPr baseColWidth="10" defaultColWidth="16.83203125" defaultRowHeight="15" customHeight="1"/>
  <cols>
    <col min="1" max="1" width="12" customWidth="1"/>
    <col min="2" max="2" width="19.83203125" customWidth="1"/>
    <col min="3" max="3" width="12" customWidth="1"/>
    <col min="4" max="9" width="18.5" customWidth="1"/>
  </cols>
  <sheetData>
    <row r="1" spans="2:9" ht="11.25" customHeight="1"/>
    <row r="2" spans="2:9" ht="11.25" customHeight="1"/>
    <row r="3" spans="2:9" ht="11.25" customHeight="1"/>
    <row r="4" spans="2:9" ht="11.25" customHeight="1"/>
    <row r="5" spans="2:9" ht="11.25" customHeight="1"/>
    <row r="6" spans="2:9" ht="11.25" customHeight="1"/>
    <row r="7" spans="2:9" ht="11.25" customHeight="1">
      <c r="B7" s="60" t="s">
        <v>44</v>
      </c>
      <c r="C7" s="61">
        <v>1</v>
      </c>
      <c r="D7" s="60">
        <v>498</v>
      </c>
      <c r="E7" s="60">
        <v>420</v>
      </c>
      <c r="F7" s="60">
        <v>450</v>
      </c>
      <c r="G7" s="60">
        <v>230</v>
      </c>
      <c r="H7" s="60">
        <v>600</v>
      </c>
      <c r="I7" s="60">
        <v>520</v>
      </c>
    </row>
    <row r="8" spans="2:9" ht="11.25" customHeight="1">
      <c r="B8" s="60" t="s">
        <v>45</v>
      </c>
      <c r="C8" s="61">
        <v>2</v>
      </c>
      <c r="D8" s="60">
        <v>450</v>
      </c>
      <c r="E8" s="60">
        <v>220</v>
      </c>
      <c r="F8" s="60">
        <v>405</v>
      </c>
      <c r="G8" s="60">
        <v>495</v>
      </c>
      <c r="H8" s="60">
        <v>540</v>
      </c>
      <c r="I8" s="60">
        <v>200</v>
      </c>
    </row>
    <row r="9" spans="2:9" ht="11.25" customHeight="1">
      <c r="B9" s="60" t="s">
        <v>46</v>
      </c>
      <c r="C9" s="61">
        <v>2</v>
      </c>
      <c r="D9" s="60">
        <v>650</v>
      </c>
      <c r="E9" s="60">
        <v>620</v>
      </c>
      <c r="F9" s="60">
        <v>666</v>
      </c>
      <c r="G9" s="60">
        <v>400</v>
      </c>
      <c r="H9" s="60">
        <v>648</v>
      </c>
      <c r="I9" s="60">
        <v>452.4</v>
      </c>
    </row>
    <row r="10" spans="2:9" ht="11.25" customHeight="1">
      <c r="B10" s="60" t="s">
        <v>47</v>
      </c>
      <c r="C10" s="61">
        <v>1</v>
      </c>
      <c r="D10" s="60">
        <v>585</v>
      </c>
      <c r="E10" s="60">
        <v>558</v>
      </c>
      <c r="F10" s="60">
        <v>320</v>
      </c>
      <c r="G10" s="60">
        <v>360</v>
      </c>
      <c r="H10" s="60">
        <v>583.20000000000005</v>
      </c>
      <c r="I10" s="60">
        <v>407.16</v>
      </c>
    </row>
    <row r="11" spans="2:9" ht="11.25" customHeight="1">
      <c r="B11" s="60" t="s">
        <v>48</v>
      </c>
      <c r="C11" s="61">
        <v>3</v>
      </c>
      <c r="D11" s="60">
        <v>526.5</v>
      </c>
      <c r="E11" s="60">
        <v>502.2</v>
      </c>
      <c r="F11" s="60">
        <v>539.46</v>
      </c>
      <c r="G11" s="60">
        <v>300</v>
      </c>
      <c r="H11" s="60">
        <v>500</v>
      </c>
      <c r="I11" s="60">
        <v>366.44</v>
      </c>
    </row>
    <row r="12" spans="2:9" ht="11.25" customHeight="1">
      <c r="B12" s="60" t="s">
        <v>49</v>
      </c>
      <c r="C12" s="61">
        <v>1</v>
      </c>
      <c r="D12" s="60">
        <v>473.8</v>
      </c>
      <c r="E12" s="60">
        <v>200</v>
      </c>
      <c r="F12" s="60">
        <v>485.51</v>
      </c>
      <c r="G12" s="60">
        <v>291.60000000000002</v>
      </c>
      <c r="H12" s="60">
        <v>270</v>
      </c>
      <c r="I12" s="60">
        <v>220</v>
      </c>
    </row>
    <row r="13" spans="2:9" ht="11.25" customHeight="1"/>
    <row r="14" spans="2:9" ht="11.25" customHeight="1"/>
    <row r="15" spans="2:9" ht="11.25" customHeight="1"/>
    <row r="16" spans="2:9" ht="11.25" customHeight="1"/>
    <row r="17" spans="2:9" ht="11.25" customHeight="1"/>
    <row r="18" spans="2:9" ht="11.25" customHeight="1"/>
    <row r="19" spans="2:9" ht="11.25" customHeight="1">
      <c r="D19" s="62">
        <v>30</v>
      </c>
      <c r="E19" s="41">
        <v>10</v>
      </c>
      <c r="F19" s="41">
        <v>15</v>
      </c>
      <c r="G19" s="41">
        <v>15</v>
      </c>
      <c r="H19" s="41">
        <v>15</v>
      </c>
      <c r="I19" s="41">
        <v>10</v>
      </c>
    </row>
    <row r="20" spans="2:9" ht="11.25" customHeight="1">
      <c r="D20" s="63">
        <v>10</v>
      </c>
      <c r="E20" s="44">
        <v>10</v>
      </c>
      <c r="F20" s="44">
        <v>10</v>
      </c>
      <c r="G20" s="41" t="s">
        <v>50</v>
      </c>
      <c r="H20" s="44">
        <v>5</v>
      </c>
      <c r="I20" s="44" t="s">
        <v>50</v>
      </c>
    </row>
    <row r="21" spans="2:9" ht="11.25" customHeight="1">
      <c r="D21" s="47" t="s">
        <v>51</v>
      </c>
      <c r="E21" s="48" t="s">
        <v>51</v>
      </c>
      <c r="F21" s="48" t="s">
        <v>52</v>
      </c>
      <c r="G21" s="48" t="s">
        <v>53</v>
      </c>
      <c r="H21" s="48" t="s">
        <v>52</v>
      </c>
      <c r="I21" s="48" t="s">
        <v>52</v>
      </c>
    </row>
    <row r="22" spans="2:9" ht="11.25" customHeight="1">
      <c r="D22" s="49" t="s">
        <v>54</v>
      </c>
      <c r="E22" s="64" t="s">
        <v>54</v>
      </c>
      <c r="F22" s="64" t="s">
        <v>55</v>
      </c>
      <c r="G22" s="64" t="s">
        <v>52</v>
      </c>
      <c r="H22" s="64" t="s">
        <v>55</v>
      </c>
      <c r="I22" s="64" t="s">
        <v>55</v>
      </c>
    </row>
    <row r="23" spans="2:9" ht="11.25" customHeight="1">
      <c r="D23" s="51"/>
      <c r="E23" s="65"/>
      <c r="F23" s="65"/>
      <c r="G23" s="65"/>
      <c r="H23" s="65"/>
      <c r="I23" s="65"/>
    </row>
    <row r="24" spans="2:9" ht="11.25" customHeight="1">
      <c r="D24" s="66"/>
      <c r="E24" s="54"/>
      <c r="F24" s="54"/>
      <c r="G24" s="54"/>
      <c r="H24" s="54"/>
      <c r="I24" s="54"/>
    </row>
    <row r="25" spans="2:9" ht="11.25" customHeight="1"/>
    <row r="26" spans="2:9" ht="11.25" customHeight="1"/>
    <row r="27" spans="2:9" ht="11.25" customHeight="1"/>
    <row r="28" spans="2:9" ht="11.25" customHeight="1">
      <c r="B28" s="60" t="s">
        <v>56</v>
      </c>
      <c r="C28" s="61">
        <v>1</v>
      </c>
      <c r="D28" s="60">
        <v>340</v>
      </c>
      <c r="E28" s="60">
        <v>330</v>
      </c>
      <c r="F28" s="60">
        <v>440</v>
      </c>
      <c r="G28" s="60">
        <v>400</v>
      </c>
      <c r="H28" s="60">
        <v>320</v>
      </c>
      <c r="I28" s="60">
        <v>330</v>
      </c>
    </row>
    <row r="29" spans="2:9" ht="11.25" customHeight="1">
      <c r="B29" s="60" t="s">
        <v>57</v>
      </c>
      <c r="C29" s="61">
        <v>1</v>
      </c>
      <c r="D29" s="60">
        <v>220</v>
      </c>
      <c r="E29" s="60">
        <v>230</v>
      </c>
      <c r="F29" s="60">
        <v>240</v>
      </c>
      <c r="G29" s="60">
        <v>220</v>
      </c>
      <c r="H29" s="60">
        <v>219</v>
      </c>
      <c r="I29" s="60">
        <v>218</v>
      </c>
    </row>
    <row r="30" spans="2:9" ht="11.25" customHeight="1">
      <c r="B30" s="60" t="s">
        <v>58</v>
      </c>
      <c r="C30" s="61">
        <v>2</v>
      </c>
      <c r="D30" s="60">
        <v>560</v>
      </c>
      <c r="E30" s="60">
        <v>580</v>
      </c>
      <c r="F30" s="60">
        <v>550</v>
      </c>
      <c r="G30" s="60">
        <v>520</v>
      </c>
      <c r="H30" s="60">
        <v>551</v>
      </c>
      <c r="I30" s="60">
        <v>550</v>
      </c>
    </row>
    <row r="31" spans="2:9" ht="11.25" customHeight="1"/>
    <row r="32" spans="2:9" ht="11.25" customHeight="1"/>
    <row r="33" spans="2:2" ht="11.25" customHeight="1"/>
    <row r="34" spans="2:2" ht="11.25" customHeight="1"/>
    <row r="35" spans="2:2" ht="11.25" customHeight="1">
      <c r="B35" s="67" t="s">
        <v>59</v>
      </c>
    </row>
    <row r="36" spans="2:2" ht="11.25" customHeight="1">
      <c r="B36" s="68">
        <v>250</v>
      </c>
    </row>
    <row r="37" spans="2:2" ht="11.25" customHeight="1">
      <c r="B37" s="69">
        <v>440</v>
      </c>
    </row>
    <row r="38" spans="2:2" ht="11.25" customHeight="1">
      <c r="B38" s="69">
        <v>440</v>
      </c>
    </row>
    <row r="39" spans="2:2" ht="11.25" customHeight="1">
      <c r="B39" s="69">
        <v>350</v>
      </c>
    </row>
    <row r="40" spans="2:2" ht="11.25" customHeight="1">
      <c r="B40" s="69">
        <v>420</v>
      </c>
    </row>
    <row r="41" spans="2:2" ht="11.25" customHeight="1">
      <c r="B41" s="69">
        <v>199</v>
      </c>
    </row>
    <row r="42" spans="2:2" ht="11.25" customHeight="1"/>
    <row r="43" spans="2:2" ht="11.25" customHeight="1"/>
    <row r="44" spans="2:2" ht="11.25" customHeight="1"/>
    <row r="45" spans="2:2" ht="11.25" customHeight="1"/>
    <row r="46" spans="2:2" ht="11.25" customHeight="1"/>
    <row r="47" spans="2:2" ht="11.25" customHeight="1"/>
    <row r="48" spans="2:2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7:I12 D28:I30">
    <cfRule type="expression" dxfId="0" priority="1">
      <formula>AND(D$15=MIN($D$15:$I$15),D$15&lt;&gt;0)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- AYUDA -</vt:lpstr>
      <vt:lpstr>Precios </vt:lpstr>
      <vt:lpstr>Soporte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APRENDIZ</cp:lastModifiedBy>
  <dcterms:modified xsi:type="dcterms:W3CDTF">2026-02-04T22:22:52Z</dcterms:modified>
</cp:coreProperties>
</file>