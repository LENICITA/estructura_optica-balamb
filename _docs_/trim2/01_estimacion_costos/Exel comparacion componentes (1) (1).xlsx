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- AYUDA -" sheetId="1" r:id="rId4"/>
    <sheet state="visible" name="Precios " sheetId="2" r:id="rId5"/>
    <sheet state="hidden" name="Soporte" sheetId="3" r:id="rId6"/>
  </sheets>
  <definedNames/>
  <calcPr/>
  <extLst>
    <ext uri="GoogleSheetsCustomDataVersion2">
      <go:sheetsCustomData xmlns:go="http://customooxmlschemas.google.com/" r:id="rId7" roundtripDataChecksum="+z/l/uQOYDJL2jOZcPeWXbxfjSY/XQgD1YSbATWU0O4="/>
    </ext>
  </extLst>
</workbook>
</file>

<file path=xl/sharedStrings.xml><?xml version="1.0" encoding="utf-8"?>
<sst xmlns="http://schemas.openxmlformats.org/spreadsheetml/2006/main" count="73" uniqueCount="60">
  <si>
    <t>Ayuda</t>
  </si>
  <si>
    <t>Comparación de Precios entre diferentes proveedores</t>
  </si>
  <si>
    <t>Ingresa en la tabla los productos, los proveedores y sus precios</t>
  </si>
  <si>
    <t>ESTADÍSTICAS POR PRODUCTO</t>
  </si>
  <si>
    <t>PRODUCTO</t>
  </si>
  <si>
    <t>CANTIDAD</t>
  </si>
  <si>
    <t>Falabella</t>
  </si>
  <si>
    <t>Alkosto</t>
  </si>
  <si>
    <t>Mercado Libre</t>
  </si>
  <si>
    <t>PROVEEDOR 4</t>
  </si>
  <si>
    <t>PROVEEDOR 5</t>
  </si>
  <si>
    <t>PROVEEDOR 6</t>
  </si>
  <si>
    <t>PRECIO MÁS BAJO</t>
  </si>
  <si>
    <t>PRECIO PROMEDIO</t>
  </si>
  <si>
    <t>PRECIO MÁS ALTO</t>
  </si>
  <si>
    <t xml:space="preserve">Torre admin
</t>
  </si>
  <si>
    <t>Monitor admin</t>
  </si>
  <si>
    <t>Disco solido admin</t>
  </si>
  <si>
    <t>Disco duro interno admin</t>
  </si>
  <si>
    <t>Servidor admin</t>
  </si>
  <si>
    <t>Ram amin</t>
  </si>
  <si>
    <t>Teclado admin</t>
  </si>
  <si>
    <t>Mouse admin</t>
  </si>
  <si>
    <t>Software licencia</t>
  </si>
  <si>
    <t>Licencia visual</t>
  </si>
  <si>
    <t>Licencia SQL</t>
  </si>
  <si>
    <t>Hosting y dominio</t>
  </si>
  <si>
    <t>Frontend</t>
  </si>
  <si>
    <t>Backend</t>
  </si>
  <si>
    <t>Total</t>
  </si>
  <si>
    <t>DATOS ADICIONALES</t>
  </si>
  <si>
    <t>TIEMPO DE ENTREGA (DÍAS)</t>
  </si>
  <si>
    <t>Horas de dia los 7 dias de la semana</t>
  </si>
  <si>
    <t>de 3 a 5 minutos</t>
  </si>
  <si>
    <t>3 a 10 dias habiles</t>
  </si>
  <si>
    <t>entrega de 2  dias habiles</t>
  </si>
  <si>
    <t>1 a 5 dias habiles</t>
  </si>
  <si>
    <t>5 dias laborales</t>
  </si>
  <si>
    <t>COSTO DE ENVÍO</t>
  </si>
  <si>
    <t>$ 7.055</t>
  </si>
  <si>
    <t>$287.497</t>
  </si>
  <si>
    <t>$295.39</t>
  </si>
  <si>
    <t>FORMAS DE PAGO</t>
  </si>
  <si>
    <t>contado</t>
  </si>
  <si>
    <t>Almendras</t>
  </si>
  <si>
    <t>Nueces</t>
  </si>
  <si>
    <t>Pistachos</t>
  </si>
  <si>
    <t>Pecán</t>
  </si>
  <si>
    <t>Bananas</t>
  </si>
  <si>
    <t>Pasas</t>
  </si>
  <si>
    <t>Gratis</t>
  </si>
  <si>
    <t>Efvo</t>
  </si>
  <si>
    <t>Mercado Pago</t>
  </si>
  <si>
    <t>Efectivo</t>
  </si>
  <si>
    <t xml:space="preserve">Tarjeta </t>
  </si>
  <si>
    <t>Tarjeta cuotas</t>
  </si>
  <si>
    <t>Piñones</t>
  </si>
  <si>
    <t>Cranberries</t>
  </si>
  <si>
    <t>Castañas</t>
  </si>
  <si>
    <t>China Co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</si>
</sst>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\ #,##0.00"/>
    <numFmt numFmtId="165" formatCode="&quot;$&quot;\ #,##0.00;[Red]\-&quot;$&quot;\ #,##0.00"/>
  </numFmts>
  <fonts count="21">
    <font>
      <sz val="8.0"/>
      <color theme="1"/>
      <name val="Arial"/>
      <scheme val="minor"/>
    </font>
    <font>
      <sz val="12.0"/>
      <color theme="1"/>
      <name val="Calibri"/>
    </font>
    <font>
      <sz val="8.0"/>
      <color theme="1"/>
      <name val="Arial"/>
    </font>
    <font>
      <b/>
      <sz val="22.0"/>
      <color rgb="FF3F3F3F"/>
      <name val="Calibri"/>
    </font>
    <font>
      <sz val="10.0"/>
      <color theme="1"/>
      <name val="Calibri"/>
    </font>
    <font>
      <sz val="16.0"/>
      <color rgb="FF7F7F7F"/>
      <name val="Calibri"/>
    </font>
    <font>
      <sz val="20.0"/>
      <color theme="1"/>
      <name val="Calibri"/>
    </font>
    <font>
      <b/>
      <sz val="14.0"/>
      <color theme="0"/>
      <name val="Calibri"/>
    </font>
    <font/>
    <font>
      <b/>
      <sz val="14.0"/>
      <color rgb="FF8745EC"/>
      <name val="Calibri"/>
    </font>
    <font>
      <sz val="14.0"/>
      <color rgb="FF595959"/>
      <name val="Calibri"/>
    </font>
    <font>
      <b/>
      <sz val="14.0"/>
      <color rgb="FF595959"/>
      <name val="Calibri"/>
    </font>
    <font>
      <b/>
      <sz val="14.0"/>
      <color rgb="FF7F7F7F"/>
      <name val="Calibri"/>
    </font>
    <font>
      <sz val="10.0"/>
      <color theme="1"/>
      <name val="Trebuchet MS"/>
    </font>
    <font>
      <sz val="10.0"/>
      <color theme="1"/>
      <name val="Arial"/>
      <scheme val="minor"/>
    </font>
    <font>
      <sz val="10.0"/>
      <color rgb="FFFF0000"/>
      <name val="Calibri"/>
    </font>
    <font>
      <sz val="8.0"/>
      <color rgb="FF595959"/>
      <name val="Calibri"/>
    </font>
    <font>
      <sz val="11.0"/>
      <color rgb="FF4D5156"/>
      <name val="Arial"/>
    </font>
    <font>
      <sz val="18.0"/>
      <color rgb="FF000000"/>
      <name val="Proxima Nova"/>
    </font>
    <font>
      <sz val="11.0"/>
      <color rgb="FF000000"/>
      <name val="Arial"/>
    </font>
    <font>
      <sz val="13.0"/>
      <color rgb="FF595959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8745EC"/>
        <bgColor rgb="FF8745EC"/>
      </patternFill>
    </fill>
    <fill>
      <patternFill patternType="solid">
        <fgColor theme="0"/>
        <bgColor theme="0"/>
      </patternFill>
    </fill>
    <fill>
      <patternFill patternType="solid">
        <fgColor rgb="FFF8F3FF"/>
        <bgColor rgb="FFF8F3FF"/>
      </patternFill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</fills>
  <borders count="44">
    <border/>
    <border>
      <left/>
      <right/>
      <top/>
      <bottom/>
    </border>
    <border>
      <left/>
      <right/>
      <top/>
      <bottom style="thin">
        <color theme="0"/>
      </bottom>
    </border>
    <border>
      <left style="medium">
        <color rgb="FF8745EC"/>
      </left>
      <top style="medium">
        <color rgb="FF8745EC"/>
      </top>
      <bottom style="thin">
        <color theme="0"/>
      </bottom>
    </border>
    <border>
      <top style="medium">
        <color rgb="FF8745EC"/>
      </top>
      <bottom style="thin">
        <color theme="0"/>
      </bottom>
    </border>
    <border>
      <right style="medium">
        <color rgb="FF8745EC"/>
      </right>
      <top style="medium">
        <color rgb="FF8745EC"/>
      </top>
      <bottom style="thin">
        <color theme="0"/>
      </bottom>
    </border>
    <border>
      <left style="medium">
        <color theme="0"/>
      </left>
      <right style="medium">
        <color theme="0"/>
      </right>
      <top style="medium">
        <color theme="0"/>
      </top>
    </border>
    <border>
      <left style="medium">
        <color rgb="FF8745EC"/>
      </left>
      <right style="thin">
        <color theme="0"/>
      </right>
      <top style="thin">
        <color theme="0"/>
      </top>
    </border>
    <border>
      <left style="thin">
        <color theme="0"/>
      </left>
      <right style="thin">
        <color theme="0"/>
      </right>
      <top style="thin">
        <color theme="0"/>
      </top>
    </border>
    <border>
      <left style="thin">
        <color theme="0"/>
      </left>
      <right style="medium">
        <color rgb="FF8745EC"/>
      </right>
      <top style="thin">
        <color theme="0"/>
      </top>
    </border>
    <border>
      <lef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/>
      <top/>
      <bottom/>
    </border>
    <border>
      <left/>
      <right/>
      <bottom/>
    </border>
    <border>
      <left style="medium">
        <color rgb="FF8745EC"/>
      </left>
      <top/>
    </border>
    <border>
      <right style="medium">
        <color theme="0"/>
      </right>
      <top/>
    </border>
    <border>
      <left style="thin">
        <color theme="0"/>
      </left>
      <top style="thin">
        <color theme="0"/>
      </top>
      <bottom style="thin">
        <color theme="0"/>
      </bottom>
    </border>
    <border>
      <top style="thin">
        <color theme="0"/>
      </top>
      <bottom style="thin">
        <color theme="0"/>
      </bottom>
    </border>
    <border>
      <right style="thin">
        <color rgb="FFA5A5A5"/>
      </right>
      <top style="thin">
        <color rgb="FF7F7F7F"/>
      </top>
      <bottom style="thin">
        <color rgb="FF7F7F7F"/>
      </bottom>
    </border>
    <border>
      <left style="thin">
        <color rgb="FFA5A5A5"/>
      </left>
      <top style="thin">
        <color rgb="FF7F7F7F"/>
      </top>
      <bottom style="thin">
        <color rgb="FF7F7F7F"/>
      </bottom>
    </border>
    <border>
      <left style="thin">
        <color rgb="FFA5A5A5"/>
      </left>
      <right style="thin">
        <color rgb="FFA5A5A5"/>
      </right>
      <top style="thin">
        <color rgb="FF7F7F7F"/>
      </top>
      <bottom style="thin">
        <color rgb="FF7F7F7F"/>
      </bottom>
    </border>
    <border>
      <left style="thin">
        <color rgb="FF7F7F7F"/>
      </left>
      <right style="thin">
        <color rgb="FFA5A5A5"/>
      </right>
      <bottom style="thin">
        <color rgb="FF7F7F7F"/>
      </bottom>
    </border>
    <border>
      <left style="thin">
        <color rgb="FFA5A5A5"/>
      </left>
      <right style="thin">
        <color rgb="FFA5A5A5"/>
      </right>
      <bottom style="thin">
        <color rgb="FF7F7F7F"/>
      </bottom>
    </border>
    <border>
      <left style="thin">
        <color theme="0"/>
      </left>
      <top style="thin">
        <color theme="0"/>
      </top>
    </border>
    <border>
      <top style="thin">
        <color theme="0"/>
      </top>
    </border>
    <border>
      <left style="thin">
        <color rgb="FF7F7F7F"/>
      </left>
      <right style="thin">
        <color rgb="FFA5A5A5"/>
      </right>
      <top style="thin">
        <color rgb="FF7F7F7F"/>
      </top>
      <bottom style="dotted">
        <color rgb="FFA5A5A5"/>
      </bottom>
    </border>
    <border>
      <left style="thin">
        <color rgb="FFA5A5A5"/>
      </left>
      <right style="thin">
        <color rgb="FFA5A5A5"/>
      </right>
      <top style="thin">
        <color rgb="FF7F7F7F"/>
      </top>
      <bottom style="dotted">
        <color rgb="FFA5A5A5"/>
      </bottom>
    </border>
    <border>
      <left style="thin">
        <color theme="0"/>
      </left>
    </border>
    <border>
      <left style="thin">
        <color rgb="FF7F7F7F"/>
      </left>
      <right style="thin">
        <color rgb="FFA5A5A5"/>
      </right>
      <top style="dotted">
        <color rgb="FFA5A5A5"/>
      </top>
      <bottom style="dotted">
        <color rgb="FFA5A5A5"/>
      </bottom>
    </border>
    <border>
      <left style="thin">
        <color rgb="FF7F7F7F"/>
      </left>
      <right style="thin">
        <color rgb="FFA5A5A5"/>
      </right>
      <top style="dotted">
        <color rgb="FFA5A5A5"/>
      </top>
    </border>
    <border>
      <left style="thin">
        <color theme="0"/>
      </left>
      <bottom style="thin">
        <color theme="0"/>
      </bottom>
    </border>
    <border>
      <bottom style="thin">
        <color theme="0"/>
      </bottom>
    </border>
    <border>
      <right style="thin">
        <color rgb="FFA5A5A5"/>
      </right>
      <top style="dotted">
        <color rgb="FFA5A5A5"/>
      </top>
      <bottom style="thin">
        <color rgb="FF7F7F7F"/>
      </bottom>
    </border>
    <border>
      <left style="thin">
        <color rgb="FFA5A5A5"/>
      </left>
      <right style="thin">
        <color rgb="FFA5A5A5"/>
      </right>
      <top style="dotted">
        <color rgb="FFA5A5A5"/>
      </top>
      <bottom style="thin">
        <color rgb="FF7F7F7F"/>
      </bottom>
    </border>
    <border>
      <right style="thin">
        <color rgb="FFFFFF66"/>
      </right>
    </border>
    <border>
      <left style="thin">
        <color rgb="FFFFFF66"/>
      </left>
      <right style="thin">
        <color rgb="FFFFFF66"/>
      </right>
      <top style="thin">
        <color rgb="FFFFFFFF"/>
      </top>
      <bottom style="thin">
        <color rgb="FFF2F2F2"/>
      </bottom>
    </border>
    <border>
      <left style="thin">
        <color rgb="FFFFFF66"/>
      </left>
    </border>
    <border>
      <left style="thin">
        <color rgb="FFFFFF66"/>
      </left>
      <right style="thin">
        <color rgb="FFFFFF66"/>
      </right>
      <top style="thin">
        <color rgb="FFF2F2F2"/>
      </top>
      <bottom style="thin">
        <color rgb="FFF2F2F2"/>
      </bottom>
    </border>
    <border>
      <top style="dotted">
        <color rgb="FFF2F2F2"/>
      </top>
      <bottom style="medium">
        <color rgb="FFF2F2F2"/>
      </bottom>
    </border>
    <border>
      <left style="thin">
        <color rgb="FF7F7F7F"/>
      </left>
      <right style="thin">
        <color rgb="FFA5A5A5"/>
      </right>
      <top style="thin">
        <color rgb="FF7F7F7F"/>
      </top>
      <bottom style="thin">
        <color rgb="FF7F7F7F"/>
      </bottom>
    </border>
    <border>
      <left style="thin">
        <color rgb="FFA5A5A5"/>
      </left>
      <right style="thin">
        <color rgb="FFA5A5A5"/>
      </right>
      <top style="dotted">
        <color rgb="FFA5A5A5"/>
      </top>
      <bottom style="dotted">
        <color rgb="FFA5A5A5"/>
      </bottom>
    </border>
    <border>
      <left style="thin">
        <color rgb="FF7F7F7F"/>
      </left>
      <right style="thin">
        <color rgb="FFA5A5A5"/>
      </right>
      <top style="dotted">
        <color rgb="FFA5A5A5"/>
      </top>
      <bottom style="thin">
        <color rgb="FF7F7F7F"/>
      </bottom>
    </border>
    <border>
      <left/>
      <right/>
      <top/>
      <bottom style="thin">
        <color rgb="FFF2F2F2"/>
      </bottom>
    </border>
    <border>
      <left/>
      <right/>
      <top style="thin">
        <color rgb="FFF2F2F2"/>
      </top>
      <bottom style="thin">
        <color rgb="FFF2F2F2"/>
      </bottom>
    </border>
  </borders>
  <cellStyleXfs count="1">
    <xf borderId="0" fillId="0" fontId="0" numFmtId="0" applyAlignment="1" applyFont="1"/>
  </cellStyleXfs>
  <cellXfs count="82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Border="1" applyFill="1" applyFont="1"/>
    <xf borderId="0" fillId="0" fontId="3" numFmtId="0" xfId="0" applyAlignment="1" applyFont="1">
      <alignment vertical="center"/>
    </xf>
    <xf borderId="0" fillId="0" fontId="3" numFmtId="0" xfId="0" applyAlignment="1" applyFont="1">
      <alignment vertical="top"/>
    </xf>
    <xf borderId="1" fillId="3" fontId="4" numFmtId="0" xfId="0" applyBorder="1" applyFill="1" applyFont="1"/>
    <xf borderId="0" fillId="0" fontId="4" numFmtId="0" xfId="0" applyFont="1"/>
    <xf borderId="2" fillId="2" fontId="2" numFmtId="0" xfId="0" applyBorder="1" applyFont="1"/>
    <xf borderId="0" fillId="0" fontId="5" numFmtId="0" xfId="0" applyAlignment="1" applyFont="1">
      <alignment vertical="top"/>
    </xf>
    <xf borderId="1" fillId="3" fontId="6" numFmtId="0" xfId="0" applyAlignment="1" applyBorder="1" applyFont="1">
      <alignment vertical="center"/>
    </xf>
    <xf borderId="3" fillId="2" fontId="7" numFmtId="0" xfId="0" applyAlignment="1" applyBorder="1" applyFont="1">
      <alignment horizontal="center" shrinkToFit="0" vertical="center" wrapText="1"/>
    </xf>
    <xf borderId="4" fillId="0" fontId="8" numFmtId="0" xfId="0" applyBorder="1" applyFont="1"/>
    <xf borderId="5" fillId="0" fontId="8" numFmtId="0" xfId="0" applyBorder="1" applyFont="1"/>
    <xf borderId="1" fillId="3" fontId="1" numFmtId="0" xfId="0" applyAlignment="1" applyBorder="1" applyFont="1">
      <alignment horizontal="center"/>
    </xf>
    <xf borderId="6" fillId="4" fontId="9" numFmtId="0" xfId="0" applyAlignment="1" applyBorder="1" applyFill="1" applyFont="1">
      <alignment horizontal="center" readingOrder="0" shrinkToFit="0" vertical="center" wrapText="1"/>
    </xf>
    <xf borderId="7" fillId="2" fontId="7" numFmtId="0" xfId="0" applyAlignment="1" applyBorder="1" applyFont="1">
      <alignment horizontal="center" readingOrder="0" shrinkToFit="0" vertical="center" wrapText="1"/>
    </xf>
    <xf borderId="8" fillId="2" fontId="7" numFmtId="0" xfId="0" applyAlignment="1" applyBorder="1" applyFont="1">
      <alignment horizontal="center" readingOrder="0" shrinkToFit="0" vertical="center" wrapText="1"/>
    </xf>
    <xf borderId="9" fillId="2" fontId="7" numFmtId="0" xfId="0" applyAlignment="1" applyBorder="1" applyFont="1">
      <alignment horizontal="center" readingOrder="0" shrinkToFit="0" vertical="center" wrapText="1"/>
    </xf>
    <xf borderId="10" fillId="3" fontId="1" numFmtId="0" xfId="0" applyBorder="1" applyFont="1"/>
    <xf borderId="11" fillId="0" fontId="4" numFmtId="0" xfId="0" applyAlignment="1" applyBorder="1" applyFont="1">
      <alignment horizontal="center" readingOrder="0" shrinkToFit="0" vertical="center" wrapText="1"/>
    </xf>
    <xf borderId="11" fillId="4" fontId="10" numFmtId="2" xfId="0" applyAlignment="1" applyBorder="1" applyFont="1" applyNumberFormat="1">
      <alignment horizontal="center" readingOrder="0" shrinkToFit="0" vertical="center" wrapText="0"/>
    </xf>
    <xf borderId="11" fillId="4" fontId="10" numFmtId="164" xfId="0" applyAlignment="1" applyBorder="1" applyFont="1" applyNumberFormat="1">
      <alignment horizontal="center" readingOrder="0" shrinkToFit="0" vertical="center" wrapText="0"/>
    </xf>
    <xf borderId="11" fillId="4" fontId="10" numFmtId="164" xfId="0" applyAlignment="1" applyBorder="1" applyFont="1" applyNumberFormat="1">
      <alignment horizontal="center" shrinkToFit="0" vertical="center" wrapText="0"/>
    </xf>
    <xf borderId="11" fillId="4" fontId="11" numFmtId="164" xfId="0" applyAlignment="1" applyBorder="1" applyFont="1" applyNumberFormat="1">
      <alignment horizontal="center" shrinkToFit="0" vertical="center" wrapText="0"/>
    </xf>
    <xf borderId="11" fillId="5" fontId="12" numFmtId="164" xfId="0" applyAlignment="1" applyBorder="1" applyFill="1" applyFont="1" applyNumberFormat="1">
      <alignment horizontal="center" shrinkToFit="0" vertical="center" wrapText="0"/>
    </xf>
    <xf borderId="12" fillId="3" fontId="1" numFmtId="0" xfId="0" applyBorder="1" applyFont="1"/>
    <xf borderId="1" fillId="3" fontId="1" numFmtId="0" xfId="0" applyBorder="1" applyFont="1"/>
    <xf borderId="11" fillId="0" fontId="13" numFmtId="0" xfId="0" applyAlignment="1" applyBorder="1" applyFont="1">
      <alignment horizontal="center" readingOrder="0" shrinkToFit="0" vertical="center" wrapText="1"/>
    </xf>
    <xf borderId="11" fillId="0" fontId="10" numFmtId="2" xfId="0" applyAlignment="1" applyBorder="1" applyFont="1" applyNumberFormat="1">
      <alignment horizontal="center" readingOrder="0" shrinkToFit="0" vertical="center" wrapText="0"/>
    </xf>
    <xf borderId="11" fillId="0" fontId="10" numFmtId="164" xfId="0" applyAlignment="1" applyBorder="1" applyFont="1" applyNumberFormat="1">
      <alignment horizontal="center" readingOrder="0" shrinkToFit="0" vertical="center" wrapText="0"/>
    </xf>
    <xf borderId="11" fillId="0" fontId="10" numFmtId="164" xfId="0" applyAlignment="1" applyBorder="1" applyFont="1" applyNumberFormat="1">
      <alignment horizontal="center" shrinkToFit="0" vertical="center" wrapText="0"/>
    </xf>
    <xf borderId="11" fillId="0" fontId="13" numFmtId="0" xfId="0" applyAlignment="1" applyBorder="1" applyFont="1">
      <alignment horizontal="center" readingOrder="0" shrinkToFit="0" vertical="center" wrapText="0"/>
    </xf>
    <xf borderId="11" fillId="0" fontId="14" numFmtId="0" xfId="0" applyAlignment="1" applyBorder="1" applyFont="1">
      <alignment horizontal="center" readingOrder="0" shrinkToFit="0" vertical="center" wrapText="1"/>
    </xf>
    <xf borderId="0" fillId="0" fontId="15" numFmtId="0" xfId="0" applyFont="1"/>
    <xf borderId="11" fillId="5" fontId="11" numFmtId="0" xfId="0" applyAlignment="1" applyBorder="1" applyFont="1">
      <alignment horizontal="center" shrinkToFit="0" vertical="center" wrapText="0"/>
    </xf>
    <xf borderId="11" fillId="5" fontId="11" numFmtId="164" xfId="0" applyAlignment="1" applyBorder="1" applyFont="1" applyNumberFormat="1">
      <alignment horizontal="center" shrinkToFit="0" vertical="center" wrapText="0"/>
    </xf>
    <xf borderId="11" fillId="0" fontId="12" numFmtId="0" xfId="0" applyAlignment="1" applyBorder="1" applyFont="1">
      <alignment horizontal="center" shrinkToFit="0" vertical="center" wrapText="0"/>
    </xf>
    <xf borderId="11" fillId="0" fontId="12" numFmtId="164" xfId="0" applyAlignment="1" applyBorder="1" applyFont="1" applyNumberFormat="1">
      <alignment horizontal="center" shrinkToFit="0" vertical="center" wrapText="0"/>
    </xf>
    <xf borderId="13" fillId="3" fontId="4" numFmtId="0" xfId="0" applyBorder="1" applyFont="1"/>
    <xf borderId="14" fillId="2" fontId="7" numFmtId="0" xfId="0" applyAlignment="1" applyBorder="1" applyFont="1">
      <alignment horizontal="center" shrinkToFit="0" vertical="center" wrapText="1"/>
    </xf>
    <xf borderId="15" fillId="0" fontId="8" numFmtId="0" xfId="0" applyBorder="1" applyFont="1"/>
    <xf borderId="6" fillId="0" fontId="9" numFmtId="0" xfId="0" applyAlignment="1" applyBorder="1" applyFont="1">
      <alignment horizontal="left" shrinkToFit="0" vertical="center" wrapText="1"/>
    </xf>
    <xf borderId="16" fillId="4" fontId="9" numFmtId="0" xfId="0" applyAlignment="1" applyBorder="1" applyFont="1">
      <alignment horizontal="center" shrinkToFit="0" vertical="center" wrapText="1"/>
    </xf>
    <xf borderId="17" fillId="0" fontId="8" numFmtId="0" xfId="0" applyBorder="1" applyFont="1"/>
    <xf borderId="11" fillId="0" fontId="16" numFmtId="0" xfId="0" applyAlignment="1" applyBorder="1" applyFont="1">
      <alignment horizontal="center" vertical="center"/>
    </xf>
    <xf borderId="18" fillId="0" fontId="10" numFmtId="0" xfId="0" applyAlignment="1" applyBorder="1" applyFont="1">
      <alignment horizontal="center" vertical="center"/>
    </xf>
    <xf borderId="19" fillId="0" fontId="10" numFmtId="0" xfId="0" applyAlignment="1" applyBorder="1" applyFont="1">
      <alignment horizontal="center" vertical="center"/>
    </xf>
    <xf borderId="11" fillId="0" fontId="10" numFmtId="0" xfId="0" applyAlignment="1" applyBorder="1" applyFont="1">
      <alignment horizontal="center" vertical="center"/>
    </xf>
    <xf borderId="20" fillId="0" fontId="10" numFmtId="0" xfId="0" applyAlignment="1" applyBorder="1" applyFont="1">
      <alignment horizontal="center" vertical="center"/>
    </xf>
    <xf borderId="21" fillId="0" fontId="10" numFmtId="164" xfId="0" applyAlignment="1" applyBorder="1" applyFont="1" applyNumberFormat="1">
      <alignment horizontal="center" vertical="center"/>
    </xf>
    <xf borderId="0" fillId="0" fontId="17" numFmtId="0" xfId="0" applyFont="1"/>
    <xf borderId="20" fillId="0" fontId="10" numFmtId="164" xfId="0" applyAlignment="1" applyBorder="1" applyFont="1" applyNumberFormat="1">
      <alignment horizontal="center" vertical="center"/>
    </xf>
    <xf borderId="22" fillId="0" fontId="10" numFmtId="0" xfId="0" applyAlignment="1" applyBorder="1" applyFont="1">
      <alignment horizontal="center" vertical="center"/>
    </xf>
    <xf borderId="10" fillId="3" fontId="4" numFmtId="0" xfId="0" applyBorder="1" applyFont="1"/>
    <xf borderId="23" fillId="4" fontId="9" numFmtId="0" xfId="0" applyAlignment="1" applyBorder="1" applyFont="1">
      <alignment horizontal="center" shrinkToFit="0" vertical="center" wrapText="1"/>
    </xf>
    <xf borderId="24" fillId="0" fontId="8" numFmtId="0" xfId="0" applyBorder="1" applyFont="1"/>
    <xf borderId="25" fillId="0" fontId="10" numFmtId="164" xfId="0" applyAlignment="1" applyBorder="1" applyFont="1" applyNumberFormat="1">
      <alignment horizontal="center" vertical="center"/>
    </xf>
    <xf borderId="26" fillId="0" fontId="10" numFmtId="164" xfId="0" applyAlignment="1" applyBorder="1" applyFont="1" applyNumberFormat="1">
      <alignment horizontal="center" vertical="center"/>
    </xf>
    <xf borderId="27" fillId="0" fontId="8" numFmtId="0" xfId="0" applyBorder="1" applyFont="1"/>
    <xf borderId="28" fillId="0" fontId="10" numFmtId="0" xfId="0" applyAlignment="1" applyBorder="1" applyFont="1">
      <alignment horizontal="center" vertical="center"/>
    </xf>
    <xf borderId="29" fillId="0" fontId="11" numFmtId="4" xfId="0" applyAlignment="1" applyBorder="1" applyFont="1" applyNumberFormat="1">
      <alignment horizontal="center" vertical="center"/>
    </xf>
    <xf borderId="28" fillId="0" fontId="11" numFmtId="4" xfId="0" applyAlignment="1" applyBorder="1" applyFont="1" applyNumberFormat="1">
      <alignment horizontal="center" vertical="center"/>
    </xf>
    <xf borderId="30" fillId="0" fontId="8" numFmtId="0" xfId="0" applyBorder="1" applyFont="1"/>
    <xf borderId="31" fillId="0" fontId="8" numFmtId="0" xfId="0" applyBorder="1" applyFont="1"/>
    <xf borderId="11" fillId="0" fontId="18" numFmtId="0" xfId="0" applyAlignment="1" applyBorder="1" applyFont="1">
      <alignment shrinkToFit="0" wrapText="1"/>
    </xf>
    <xf borderId="32" fillId="0" fontId="10" numFmtId="0" xfId="0" applyAlignment="1" applyBorder="1" applyFont="1">
      <alignment horizontal="center" vertical="center"/>
    </xf>
    <xf borderId="33" fillId="0" fontId="10" numFmtId="0" xfId="0" applyAlignment="1" applyBorder="1" applyFont="1">
      <alignment horizontal="center" vertical="center"/>
    </xf>
    <xf borderId="0" fillId="0" fontId="19" numFmtId="165" xfId="0" applyAlignment="1" applyFont="1" applyNumberFormat="1">
      <alignment shrinkToFit="0" vertical="center" wrapText="1"/>
    </xf>
    <xf borderId="34" fillId="0" fontId="19" numFmtId="165" xfId="0" applyAlignment="1" applyBorder="1" applyFont="1" applyNumberFormat="1">
      <alignment shrinkToFit="0" vertical="center" wrapText="1"/>
    </xf>
    <xf borderId="35" fillId="0" fontId="20" numFmtId="165" xfId="0" applyAlignment="1" applyBorder="1" applyFont="1" applyNumberFormat="1">
      <alignment shrinkToFit="0" vertical="center" wrapText="1"/>
    </xf>
    <xf borderId="36" fillId="0" fontId="19" numFmtId="165" xfId="0" applyAlignment="1" applyBorder="1" applyFont="1" applyNumberFormat="1">
      <alignment shrinkToFit="0" vertical="center" wrapText="1"/>
    </xf>
    <xf borderId="37" fillId="0" fontId="20" numFmtId="165" xfId="0" applyAlignment="1" applyBorder="1" applyFont="1" applyNumberFormat="1">
      <alignment shrinkToFit="0" vertical="center" wrapText="1"/>
    </xf>
    <xf borderId="38" fillId="0" fontId="10" numFmtId="164" xfId="0" applyAlignment="1" applyBorder="1" applyFont="1" applyNumberFormat="1">
      <alignment horizontal="center" vertical="center"/>
    </xf>
    <xf borderId="38" fillId="0" fontId="10" numFmtId="2" xfId="0" applyAlignment="1" applyBorder="1" applyFont="1" applyNumberFormat="1">
      <alignment horizontal="center" vertical="center"/>
    </xf>
    <xf borderId="39" fillId="0" fontId="10" numFmtId="0" xfId="0" applyAlignment="1" applyBorder="1" applyFont="1">
      <alignment horizontal="center" vertical="center"/>
    </xf>
    <xf borderId="39" fillId="0" fontId="10" numFmtId="164" xfId="0" applyAlignment="1" applyBorder="1" applyFont="1" applyNumberFormat="1">
      <alignment horizontal="center" vertical="center"/>
    </xf>
    <xf borderId="40" fillId="0" fontId="10" numFmtId="0" xfId="0" applyAlignment="1" applyBorder="1" applyFont="1">
      <alignment horizontal="center" vertical="center"/>
    </xf>
    <xf borderId="40" fillId="0" fontId="11" numFmtId="4" xfId="0" applyAlignment="1" applyBorder="1" applyFont="1" applyNumberFormat="1">
      <alignment horizontal="center" vertical="center"/>
    </xf>
    <xf borderId="41" fillId="0" fontId="10" numFmtId="0" xfId="0" applyAlignment="1" applyBorder="1" applyFont="1">
      <alignment horizontal="center" vertical="center"/>
    </xf>
    <xf borderId="0" fillId="0" fontId="19" numFmtId="0" xfId="0" applyFont="1"/>
    <xf borderId="42" fillId="6" fontId="20" numFmtId="165" xfId="0" applyAlignment="1" applyBorder="1" applyFill="1" applyFont="1" applyNumberFormat="1">
      <alignment shrinkToFit="0" vertical="center" wrapText="1"/>
    </xf>
    <xf borderId="43" fillId="6" fontId="20" numFmtId="165" xfId="0" applyAlignment="1" applyBorder="1" applyFont="1" applyNumberFormat="1">
      <alignment shrinkToFit="0" vertical="center" wrapText="1"/>
    </xf>
  </cellXfs>
  <cellStyles count="1">
    <cellStyle xfId="0" name="Normal" builtinId="0"/>
  </cellStyles>
  <dxfs count="7">
    <dxf>
      <font/>
      <fill>
        <patternFill patternType="none"/>
      </fill>
      <border>
        <left style="thin">
          <color rgb="FFFFFF66"/>
        </left>
        <right style="thin">
          <color rgb="FFFFFF66"/>
        </right>
        <top style="thin">
          <color rgb="FFFFFF66"/>
        </top>
      </border>
    </dxf>
    <dxf>
      <font/>
      <fill>
        <patternFill patternType="none"/>
      </fill>
      <border>
        <left style="thin">
          <color rgb="FFFFFF66"/>
        </left>
        <right style="thin">
          <color rgb="FFFFFF66"/>
        </right>
      </border>
    </dxf>
    <dxf>
      <font/>
      <fill>
        <patternFill patternType="none"/>
      </fill>
      <border/>
    </dxf>
    <dxf>
      <font/>
      <fill>
        <patternFill patternType="solid">
          <fgColor rgb="FFF8F3FF"/>
          <bgColor rgb="FFF8F3FF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2F2F2"/>
          <bgColor rgb="FFF2F2F2"/>
        </patternFill>
      </fill>
      <border/>
    </dxf>
    <dxf>
      <border>
        <left style="thin">
          <color rgb="FFF8F3FF"/>
        </left>
        <right style="thin">
          <color rgb="FFF8F3FF"/>
        </right>
        <top style="thin">
          <color rgb="FFF8F3FF"/>
        </top>
        <bottom style="thin">
          <color rgb="FFF8F3FF"/>
        </bottom>
      </border>
    </dxf>
  </dxfs>
  <tableStyles count="1">
    <tableStyle count="5" pivot="0" name="Precios -style">
      <tableStyleElement dxfId="3" type="headerRow"/>
      <tableStyleElement dxfId="4" type="firstRowStripe"/>
      <tableStyleElement dxfId="4" type="secondRowStripe"/>
      <tableStyleElement dxfId="5" type="totalRow"/>
      <tableStyleElement dxfId="6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238125</xdr:colOff>
      <xdr:row>4</xdr:row>
      <xdr:rowOff>133350</xdr:rowOff>
    </xdr:from>
    <xdr:ext cx="8020050" cy="6134100"/>
    <xdr:sp>
      <xdr:nvSpPr>
        <xdr:cNvPr id="3" name="Shape 3"/>
        <xdr:cNvSpPr txBox="1"/>
      </xdr:nvSpPr>
      <xdr:spPr>
        <a:xfrm>
          <a:off x="1340738" y="717713"/>
          <a:ext cx="8010525" cy="6124575"/>
        </a:xfrm>
        <a:prstGeom prst="rect">
          <a:avLst/>
        </a:prstGeom>
        <a:solidFill>
          <a:schemeClr val="lt1"/>
        </a:solidFill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rgbClr val="595959"/>
            </a:buClr>
            <a:buSzPts val="1600"/>
            <a:buFont typeface="Calibri"/>
            <a:buNone/>
          </a:pPr>
          <a:r>
            <a:rPr lang="en-US" sz="1600">
              <a:solidFill>
                <a:srgbClr val="595959"/>
              </a:solidFill>
              <a:latin typeface="Calibri"/>
              <a:ea typeface="Calibri"/>
              <a:cs typeface="Calibri"/>
              <a:sym typeface="Calibri"/>
            </a:rPr>
            <a:t>En la plantilla de excel de comparación de precios entre proveedores le permitirá saber que proveedor le da el mejor precio para cada producto que quiera comprar.</a:t>
          </a:r>
          <a:r>
            <a:rPr b="0" i="0" lang="en-US" sz="1100" u="none" strike="noStrik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   </a:t>
          </a:r>
          <a:r>
            <a:rPr lang="en-US" sz="16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</a:t>
          </a:r>
          <a:r>
            <a:rPr b="0" i="0" lang="en-US" sz="1100" u="none" strike="noStrik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 </a:t>
          </a:r>
          <a:r>
            <a:rPr lang="en-US" sz="16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</a:t>
          </a:r>
          <a:r>
            <a:rPr b="0" i="0" lang="en-US" sz="1100" u="none" strike="noStrik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 </a:t>
          </a:r>
          <a:r>
            <a:rPr lang="en-US" sz="16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</a:t>
          </a:r>
          <a:r>
            <a:rPr b="0" i="0" lang="en-US" sz="1100" u="none" strike="noStrik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 </a:t>
          </a:r>
          <a:r>
            <a:rPr lang="en-US" sz="16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</a:t>
          </a:r>
          <a:r>
            <a:rPr b="0" i="0" lang="en-US" sz="1100" u="none" strike="noStrik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 </a:t>
          </a:r>
          <a:r>
            <a:rPr lang="en-US" sz="16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</a:t>
          </a:r>
          <a:r>
            <a:rPr b="0" i="0" lang="en-US" sz="1100" u="none" strike="noStrik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 </a:t>
          </a:r>
          <a:r>
            <a:rPr lang="en-US" sz="16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</a:t>
          </a:r>
          <a:r>
            <a:rPr b="0" i="0" lang="en-US" sz="1100" u="none" strike="noStrik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   </a:t>
          </a:r>
          <a:r>
            <a:rPr lang="en-US" sz="16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</a:t>
          </a:r>
          <a:r>
            <a:rPr b="0" i="0" lang="en-US" sz="1100" u="none" strike="noStrik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 </a:t>
          </a:r>
          <a:r>
            <a:rPr lang="en-US" sz="16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SzPts val="1600"/>
            <a:buFont typeface="Arial"/>
            <a:buNone/>
          </a:pPr>
          <a:r>
            <a:t/>
          </a:r>
          <a:endParaRPr sz="1600">
            <a:solidFill>
              <a:srgbClr val="595959"/>
            </a:solidFill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rgbClr val="595959"/>
            </a:buClr>
            <a:buSzPts val="1600"/>
            <a:buFont typeface="Calibri"/>
            <a:buNone/>
          </a:pPr>
          <a:r>
            <a:rPr lang="en-US" sz="1600">
              <a:solidFill>
                <a:srgbClr val="595959"/>
              </a:solidFill>
              <a:latin typeface="Calibri"/>
              <a:ea typeface="Calibri"/>
              <a:cs typeface="Calibri"/>
              <a:sym typeface="Calibri"/>
            </a:rPr>
            <a:t>Para usarla, sigue estos pasos: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SzPts val="1600"/>
            <a:buFont typeface="Arial"/>
            <a:buNone/>
          </a:pPr>
          <a:r>
            <a:t/>
          </a:r>
          <a:endParaRPr sz="1600">
            <a:solidFill>
              <a:srgbClr val="595959"/>
            </a:solidFill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rgbClr val="595959"/>
            </a:buClr>
            <a:buSzPts val="1600"/>
            <a:buFont typeface="Calibri"/>
            <a:buNone/>
          </a:pPr>
          <a:r>
            <a:rPr b="1" lang="en-US" sz="1600">
              <a:solidFill>
                <a:srgbClr val="595959"/>
              </a:solidFill>
              <a:latin typeface="Calibri"/>
              <a:ea typeface="Calibri"/>
              <a:cs typeface="Calibri"/>
              <a:sym typeface="Calibri"/>
            </a:rPr>
            <a:t>1. </a:t>
          </a:r>
          <a:r>
            <a:rPr lang="en-US" sz="1600">
              <a:solidFill>
                <a:srgbClr val="595959"/>
              </a:solidFill>
              <a:latin typeface="Calibri"/>
              <a:ea typeface="Calibri"/>
              <a:cs typeface="Calibri"/>
              <a:sym typeface="Calibri"/>
            </a:rPr>
            <a:t>Complete el nombre de los proveedores en la fila 8.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SzPts val="1600"/>
            <a:buFont typeface="Arial"/>
            <a:buNone/>
          </a:pPr>
          <a:r>
            <a:t/>
          </a:r>
          <a:endParaRPr sz="1600">
            <a:solidFill>
              <a:srgbClr val="595959"/>
            </a:solidFill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rgbClr val="595959"/>
            </a:buClr>
            <a:buSzPts val="1600"/>
            <a:buFont typeface="Calibri"/>
            <a:buNone/>
          </a:pPr>
          <a:r>
            <a:rPr b="1" lang="en-US" sz="1600">
              <a:solidFill>
                <a:srgbClr val="595959"/>
              </a:solidFill>
              <a:latin typeface="Calibri"/>
              <a:ea typeface="Calibri"/>
              <a:cs typeface="Calibri"/>
              <a:sym typeface="Calibri"/>
            </a:rPr>
            <a:t>2. </a:t>
          </a:r>
          <a:r>
            <a:rPr lang="en-US" sz="1600">
              <a:solidFill>
                <a:srgbClr val="595959"/>
              </a:solidFill>
              <a:latin typeface="Calibri"/>
              <a:ea typeface="Calibri"/>
              <a:cs typeface="Calibri"/>
              <a:sym typeface="Calibri"/>
            </a:rPr>
            <a:t>Complete los productos a comparar en la columna B, la cantidad de cada uno de ellos en la columna C  y los precios a partir de la celda D9.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SzPts val="1600"/>
            <a:buFont typeface="Arial"/>
            <a:buNone/>
          </a:pPr>
          <a:r>
            <a:t/>
          </a:r>
          <a:endParaRPr sz="1600">
            <a:solidFill>
              <a:srgbClr val="595959"/>
            </a:solidFill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rgbClr val="595959"/>
            </a:buClr>
            <a:buSzPts val="1600"/>
            <a:buFont typeface="Calibri"/>
            <a:buNone/>
          </a:pPr>
          <a:r>
            <a:rPr b="1" lang="en-US" sz="1600">
              <a:solidFill>
                <a:srgbClr val="595959"/>
              </a:solidFill>
              <a:latin typeface="Calibri"/>
              <a:ea typeface="Calibri"/>
              <a:cs typeface="Calibri"/>
              <a:sym typeface="Calibri"/>
            </a:rPr>
            <a:t>3. </a:t>
          </a:r>
          <a:r>
            <a:rPr lang="en-US" sz="1600">
              <a:solidFill>
                <a:srgbClr val="595959"/>
              </a:solidFill>
              <a:latin typeface="Calibri"/>
              <a:ea typeface="Calibri"/>
              <a:cs typeface="Calibri"/>
              <a:sym typeface="Calibri"/>
            </a:rPr>
            <a:t>Opcional: Se pueden agregar datos adicionales que hacen a la decisión del proveedor: 	 	Cantidad de días de entrega</a:t>
          </a:r>
          <a:br>
            <a:rPr lang="en-US" sz="1600">
              <a:solidFill>
                <a:srgbClr val="595959"/>
              </a:solidFill>
              <a:latin typeface="Calibri"/>
              <a:ea typeface="Calibri"/>
              <a:cs typeface="Calibri"/>
              <a:sym typeface="Calibri"/>
            </a:rPr>
          </a:br>
          <a:r>
            <a:rPr lang="en-US" sz="1600">
              <a:solidFill>
                <a:srgbClr val="595959"/>
              </a:solidFill>
              <a:latin typeface="Calibri"/>
              <a:ea typeface="Calibri"/>
              <a:cs typeface="Calibri"/>
              <a:sym typeface="Calibri"/>
            </a:rPr>
            <a:t>		Costo de envío 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rgbClr val="595959"/>
            </a:buClr>
            <a:buSzPts val="1600"/>
            <a:buFont typeface="Calibri"/>
            <a:buNone/>
          </a:pPr>
          <a:r>
            <a:rPr lang="en-US" sz="1600">
              <a:solidFill>
                <a:srgbClr val="595959"/>
              </a:solidFill>
              <a:latin typeface="Calibri"/>
              <a:ea typeface="Calibri"/>
              <a:cs typeface="Calibri"/>
              <a:sym typeface="Calibri"/>
            </a:rPr>
            <a:t>		Formas de pago 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SzPts val="1600"/>
            <a:buFont typeface="Arial"/>
            <a:buNone/>
          </a:pPr>
          <a:r>
            <a:t/>
          </a:r>
          <a:endParaRPr b="0" i="1" sz="1600" u="sng" strike="noStrike">
            <a:solidFill>
              <a:srgbClr val="595959"/>
            </a:solidFill>
            <a:latin typeface="Calibri"/>
            <a:ea typeface="Calibri"/>
            <a:cs typeface="Calibri"/>
            <a:sym typeface="Calibri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SzPts val="1600"/>
            <a:buFont typeface="Arial"/>
            <a:buNone/>
          </a:pPr>
          <a:r>
            <a:t/>
          </a:r>
          <a:endParaRPr b="0" i="1" sz="1600" u="sng" strike="noStrike">
            <a:solidFill>
              <a:srgbClr val="595959"/>
            </a:solidFill>
            <a:latin typeface="Calibri"/>
            <a:ea typeface="Calibri"/>
            <a:cs typeface="Calibri"/>
            <a:sym typeface="Calibri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rgbClr val="595959"/>
            </a:buClr>
            <a:buSzPts val="1600"/>
            <a:buFont typeface="Calibri"/>
            <a:buNone/>
          </a:pPr>
          <a:r>
            <a:rPr b="1" lang="en-US" sz="1600">
              <a:solidFill>
                <a:srgbClr val="595959"/>
              </a:solidFill>
              <a:latin typeface="Calibri"/>
              <a:ea typeface="Calibri"/>
              <a:cs typeface="Calibri"/>
              <a:sym typeface="Calibri"/>
            </a:rPr>
            <a:t>Resultados</a:t>
          </a:r>
          <a:endParaRPr b="0" i="0" sz="1100" u="none" strike="noStrike">
            <a:solidFill>
              <a:schemeClr val="dk1"/>
            </a:solidFill>
            <a:latin typeface="Calibri"/>
            <a:ea typeface="Calibri"/>
            <a:cs typeface="Calibri"/>
            <a:sym typeface="Calibri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rgbClr val="595959"/>
            </a:buClr>
            <a:buSzPts val="1600"/>
            <a:buFont typeface="Calibri"/>
            <a:buNone/>
          </a:pPr>
          <a:r>
            <a:rPr lang="en-US" sz="1600">
              <a:solidFill>
                <a:srgbClr val="595959"/>
              </a:solidFill>
              <a:latin typeface="Calibri"/>
              <a:ea typeface="Calibri"/>
              <a:cs typeface="Calibri"/>
              <a:sym typeface="Calibri"/>
            </a:rPr>
            <a:t>Se obtiene el precio más bajo, el promedio y el más alto en las columnas J, K y L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rgbClr val="595959"/>
            </a:buClr>
            <a:buSzPts val="1600"/>
            <a:buFont typeface="Calibri"/>
            <a:buNone/>
          </a:pPr>
          <a:r>
            <a:rPr lang="en-US" sz="1600">
              <a:solidFill>
                <a:srgbClr val="595959"/>
              </a:solidFill>
              <a:latin typeface="Calibri"/>
              <a:ea typeface="Calibri"/>
              <a:cs typeface="Calibri"/>
              <a:sym typeface="Calibri"/>
            </a:rPr>
            <a:t>Se marcará en amarillo el proveedor que ofrece el precio más bajo total.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SzPts val="1600"/>
            <a:buFont typeface="Arial"/>
            <a:buNone/>
          </a:pPr>
          <a:r>
            <a:t/>
          </a:r>
          <a:endParaRPr sz="1600">
            <a:solidFill>
              <a:srgbClr val="595959"/>
            </a:solidFill>
            <a:latin typeface="Calibri"/>
            <a:ea typeface="Calibri"/>
            <a:cs typeface="Calibri"/>
            <a:sym typeface="Calibri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rgbClr val="595959"/>
            </a:buClr>
            <a:buSzPts val="1600"/>
            <a:buFont typeface="Calibri"/>
            <a:buNone/>
          </a:pPr>
          <a:r>
            <a:rPr b="1" lang="en-US" sz="1600">
              <a:solidFill>
                <a:srgbClr val="595959"/>
              </a:solidFill>
              <a:latin typeface="Calibri"/>
              <a:ea typeface="Calibri"/>
              <a:cs typeface="Calibri"/>
              <a:sym typeface="Calibri"/>
            </a:rPr>
            <a:t>Aclaración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rgbClr val="595959"/>
            </a:buClr>
            <a:buSzPts val="1600"/>
            <a:buFont typeface="Calibri"/>
            <a:buNone/>
          </a:pPr>
          <a:r>
            <a:rPr lang="en-US" sz="1600">
              <a:solidFill>
                <a:srgbClr val="595959"/>
              </a:solidFill>
              <a:latin typeface="Calibri"/>
              <a:ea typeface="Calibri"/>
              <a:cs typeface="Calibri"/>
              <a:sym typeface="Calibri"/>
            </a:rPr>
            <a:t>En el caso de que haya más de un proveedor con el precio más bajo se marcará en amarillo también.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SzPts val="1600"/>
            <a:buFont typeface="Arial"/>
            <a:buNone/>
          </a:pPr>
          <a:r>
            <a:t/>
          </a:r>
          <a:endParaRPr sz="1600">
            <a:solidFill>
              <a:srgbClr val="595959"/>
            </a:solidFill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</xdr:col>
      <xdr:colOff>66675</xdr:colOff>
      <xdr:row>0</xdr:row>
      <xdr:rowOff>95250</xdr:rowOff>
    </xdr:from>
    <xdr:ext cx="6619875" cy="762000"/>
    <xdr:sp>
      <xdr:nvSpPr>
        <xdr:cNvPr id="4" name="Shape 4"/>
        <xdr:cNvSpPr txBox="1"/>
      </xdr:nvSpPr>
      <xdr:spPr>
        <a:xfrm>
          <a:off x="2040825" y="3403763"/>
          <a:ext cx="6610350" cy="752475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2400"/>
            <a:buFont typeface="Calibri"/>
            <a:buNone/>
          </a:pPr>
          <a:r>
            <a:rPr b="1" lang="en-US" sz="24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Comparación de precios entre proveedores</a:t>
          </a:r>
          <a:endParaRPr sz="1400"/>
        </a:p>
      </xdr:txBody>
    </xdr:sp>
    <xdr:clientData fLocksWithSheet="0"/>
  </xdr:oneCellAnchor>
  <xdr:oneCellAnchor>
    <xdr:from>
      <xdr:col>9</xdr:col>
      <xdr:colOff>409575</xdr:colOff>
      <xdr:row>0</xdr:row>
      <xdr:rowOff>95250</xdr:rowOff>
    </xdr:from>
    <xdr:ext cx="2009775" cy="762000"/>
    <xdr:sp>
      <xdr:nvSpPr>
        <xdr:cNvPr id="5" name="Shape 5"/>
        <xdr:cNvSpPr txBox="1"/>
      </xdr:nvSpPr>
      <xdr:spPr>
        <a:xfrm>
          <a:off x="4345875" y="3403763"/>
          <a:ext cx="2000250" cy="752475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Clr>
              <a:srgbClr val="DCF8F0"/>
            </a:buClr>
            <a:buSzPts val="1400"/>
            <a:buFont typeface="Arial Rounded"/>
            <a:buNone/>
          </a:pPr>
          <a:r>
            <a:rPr b="1" lang="en-US" sz="1400">
              <a:solidFill>
                <a:srgbClr val="DCF8F0"/>
              </a:solidFill>
              <a:latin typeface="Arial Rounded"/>
              <a:ea typeface="Arial Rounded"/>
              <a:cs typeface="Arial Rounded"/>
              <a:sym typeface="Arial Rounded"/>
            </a:rPr>
            <a:t>Larause</a:t>
          </a:r>
          <a:endParaRPr sz="14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1</xdr:row>
      <xdr:rowOff>0</xdr:rowOff>
    </xdr:from>
    <xdr:ext cx="7686675" cy="752475"/>
    <xdr:sp>
      <xdr:nvSpPr>
        <xdr:cNvPr id="6" name="Shape 6"/>
        <xdr:cNvSpPr txBox="1"/>
      </xdr:nvSpPr>
      <xdr:spPr>
        <a:xfrm>
          <a:off x="1507425" y="3408525"/>
          <a:ext cx="7677150" cy="742950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2400"/>
            <a:buFont typeface="Calibri"/>
            <a:buNone/>
          </a:pPr>
          <a:r>
            <a:rPr b="1" lang="en-US" sz="24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Comparación de precios entre proveedores</a:t>
          </a:r>
          <a:endParaRPr b="1" sz="2400">
            <a:solidFill>
              <a:schemeClr val="lt1"/>
            </a:solidFill>
          </a:endParaRPr>
        </a:p>
      </xdr:txBody>
    </xdr:sp>
    <xdr:clientData fLocksWithSheet="0"/>
  </xdr:oneCellAnchor>
  <xdr:oneCellAnchor>
    <xdr:from>
      <xdr:col>8</xdr:col>
      <xdr:colOff>1095375</xdr:colOff>
      <xdr:row>1</xdr:row>
      <xdr:rowOff>133350</xdr:rowOff>
    </xdr:from>
    <xdr:ext cx="3019425" cy="476250"/>
    <xdr:sp>
      <xdr:nvSpPr>
        <xdr:cNvPr id="7" name="Shape 7"/>
        <xdr:cNvSpPr txBox="1"/>
      </xdr:nvSpPr>
      <xdr:spPr>
        <a:xfrm>
          <a:off x="3841050" y="3546638"/>
          <a:ext cx="3009900" cy="466725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Clr>
              <a:srgbClr val="F8F3FF"/>
            </a:buClr>
            <a:buSzPts val="1400"/>
            <a:buFont typeface="Arial Rounded"/>
            <a:buNone/>
          </a:pPr>
          <a:r>
            <a:rPr b="1" lang="en-US" sz="1400">
              <a:solidFill>
                <a:srgbClr val="F8F3FF"/>
              </a:solidFill>
              <a:latin typeface="Arial Rounded"/>
              <a:ea typeface="Arial Rounded"/>
              <a:cs typeface="Arial Rounded"/>
              <a:sym typeface="Arial Rounded"/>
            </a:rPr>
            <a:t>Larause</a:t>
          </a:r>
          <a:endParaRPr sz="1400"/>
        </a:p>
      </xdr:txBody>
    </xdr: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totalsRowCount="1" ref="B8:L23" displayName="Table_1" name="Table_1" id="1">
  <tableColumns count="11">
    <tableColumn totalsRowLabel="Total" name="PRODUCTO" id="1"/>
    <tableColumn name="CANTIDAD" id="2"/>
    <tableColumn totalsRowFunction="custom" name="Falabella" id="3"/>
    <tableColumn totalsRowFunction="custom" name="Alkosto" id="4"/>
    <tableColumn totalsRowFunction="custom" name="Mercado Libre" id="5"/>
    <tableColumn totalsRowFunction="custom" name="PROVEEDOR 4" id="6"/>
    <tableColumn totalsRowFunction="custom" name="PROVEEDOR 5" id="7"/>
    <tableColumn totalsRowFunction="custom" name="PROVEEDOR 6" id="8"/>
    <tableColumn name="PRECIO MÁS BAJO" id="9"/>
    <tableColumn name="PRECIO PROMEDIO" id="10"/>
    <tableColumn name="PRECIO MÁS ALTO" id="11"/>
  </tableColumns>
  <tableStyleInfo name="Precios 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6.83" defaultRowHeight="15.0"/>
  <cols>
    <col customWidth="1" min="1" max="1" width="4.83"/>
    <col customWidth="1" min="2" max="11" width="22.0"/>
    <col customWidth="1" min="12" max="22" width="12.0"/>
  </cols>
  <sheetData>
    <row r="1" ht="9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54.75" customHeight="1">
      <c r="A2" s="1"/>
      <c r="B2" s="2"/>
      <c r="C2" s="2"/>
      <c r="D2" s="2"/>
      <c r="E2" s="2"/>
      <c r="F2" s="2"/>
      <c r="G2" s="2"/>
      <c r="H2" s="2"/>
      <c r="I2" s="2"/>
      <c r="J2" s="2"/>
      <c r="K2" s="2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24.0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42.0" customHeight="1">
      <c r="A4" s="1"/>
      <c r="B4" s="3" t="s">
        <v>0</v>
      </c>
      <c r="C4" s="4"/>
      <c r="D4" s="4"/>
      <c r="E4" s="4"/>
      <c r="F4" s="4"/>
      <c r="G4" s="4"/>
      <c r="H4" s="4"/>
      <c r="I4" s="4"/>
      <c r="J4" s="4"/>
      <c r="K4" s="4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0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7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7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5.7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5.7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5.7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5.7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5.7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5.7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5.7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5.7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5.7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5.7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7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5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6.83" defaultRowHeight="15.0"/>
  <cols>
    <col customWidth="1" min="1" max="1" width="4.0"/>
    <col customWidth="1" min="2" max="2" width="23.5"/>
    <col customWidth="1" min="3" max="3" width="31.5"/>
    <col customWidth="1" min="4" max="4" width="27.5"/>
    <col customWidth="1" min="5" max="5" width="23.33"/>
    <col customWidth="1" min="6" max="6" width="25.17"/>
    <col customWidth="1" min="7" max="7" width="32.5"/>
    <col customWidth="1" min="8" max="9" width="22.17"/>
    <col customWidth="1" min="10" max="10" width="27.33"/>
    <col customWidth="1" min="11" max="11" width="23.5"/>
    <col customWidth="1" min="12" max="12" width="24.83"/>
    <col customWidth="1" min="13" max="13" width="20.5"/>
    <col customWidth="1" min="14" max="14" width="20.67"/>
    <col customWidth="1" min="15" max="26" width="9.33"/>
  </cols>
  <sheetData>
    <row r="1" ht="15.0" customHeight="1">
      <c r="A1" s="5"/>
      <c r="B1" s="5"/>
      <c r="C1" s="5"/>
      <c r="D1" s="5"/>
      <c r="E1" s="5"/>
      <c r="F1" s="5"/>
      <c r="G1" s="5"/>
      <c r="H1" s="5"/>
      <c r="I1" s="5"/>
      <c r="J1" s="5"/>
      <c r="K1" s="6"/>
      <c r="L1" s="6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54.75" customHeight="1">
      <c r="A2" s="5"/>
      <c r="B2" s="2"/>
      <c r="C2" s="2"/>
      <c r="D2" s="2"/>
      <c r="E2" s="2"/>
      <c r="F2" s="2"/>
      <c r="G2" s="2"/>
      <c r="H2" s="2"/>
      <c r="I2" s="7"/>
      <c r="J2" s="7"/>
      <c r="K2" s="7"/>
      <c r="L2" s="7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5.0" customHeight="1">
      <c r="A3" s="5"/>
      <c r="B3" s="5"/>
      <c r="C3" s="5"/>
      <c r="D3" s="5"/>
      <c r="E3" s="5"/>
      <c r="F3" s="5"/>
      <c r="G3" s="5"/>
      <c r="H3" s="5"/>
      <c r="I3" s="5"/>
      <c r="J3" s="5"/>
      <c r="K3" s="6"/>
      <c r="L3" s="6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5.0" customHeight="1">
      <c r="A4" s="5"/>
      <c r="B4" s="5"/>
      <c r="C4" s="5"/>
      <c r="D4" s="5"/>
      <c r="E4" s="5"/>
      <c r="F4" s="5"/>
      <c r="G4" s="5"/>
      <c r="H4" s="5"/>
      <c r="I4" s="5"/>
      <c r="J4" s="5"/>
      <c r="K4" s="6"/>
      <c r="L4" s="6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2.75" customHeight="1">
      <c r="A5" s="5"/>
      <c r="B5" s="3" t="s">
        <v>1</v>
      </c>
      <c r="C5" s="3"/>
      <c r="D5" s="5"/>
      <c r="E5" s="5"/>
      <c r="F5" s="5"/>
      <c r="G5" s="5"/>
      <c r="H5" s="5"/>
      <c r="I5" s="5"/>
      <c r="J5" s="5"/>
      <c r="K5" s="6"/>
      <c r="L5" s="6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2.75" customHeight="1">
      <c r="A6" s="5"/>
      <c r="B6" s="8" t="s">
        <v>2</v>
      </c>
      <c r="C6" s="8"/>
      <c r="D6" s="3"/>
      <c r="E6" s="3"/>
      <c r="F6" s="3"/>
      <c r="G6" s="3"/>
      <c r="H6" s="3"/>
      <c r="I6" s="3"/>
      <c r="J6" s="9"/>
      <c r="K6" s="9"/>
      <c r="L6" s="9"/>
      <c r="M6" s="9"/>
      <c r="N6" s="9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24.75" customHeight="1">
      <c r="A7" s="5"/>
      <c r="B7" s="5"/>
      <c r="C7" s="5"/>
      <c r="D7" s="5"/>
      <c r="E7" s="5"/>
      <c r="F7" s="5"/>
      <c r="G7" s="5"/>
      <c r="H7" s="5"/>
      <c r="I7" s="5"/>
      <c r="J7" s="10" t="s">
        <v>3</v>
      </c>
      <c r="K7" s="11"/>
      <c r="L7" s="12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46.5" customHeight="1">
      <c r="A8" s="13"/>
      <c r="B8" s="14" t="s">
        <v>4</v>
      </c>
      <c r="C8" s="14" t="s">
        <v>5</v>
      </c>
      <c r="D8" s="14" t="s">
        <v>6</v>
      </c>
      <c r="E8" s="14" t="s">
        <v>7</v>
      </c>
      <c r="F8" s="14" t="s">
        <v>8</v>
      </c>
      <c r="G8" s="14" t="s">
        <v>9</v>
      </c>
      <c r="H8" s="14" t="s">
        <v>10</v>
      </c>
      <c r="I8" s="14" t="s">
        <v>11</v>
      </c>
      <c r="J8" s="15" t="s">
        <v>12</v>
      </c>
      <c r="K8" s="16" t="s">
        <v>13</v>
      </c>
      <c r="L8" s="17" t="s">
        <v>14</v>
      </c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</row>
    <row r="9" ht="75.0" customHeight="1">
      <c r="A9" s="18"/>
      <c r="B9" s="19" t="s">
        <v>15</v>
      </c>
      <c r="C9" s="20">
        <v>5.0</v>
      </c>
      <c r="D9" s="21">
        <v>950810.0</v>
      </c>
      <c r="E9" s="21">
        <v>702088.0</v>
      </c>
      <c r="F9" s="21">
        <v>1150899.0</v>
      </c>
      <c r="G9" s="22"/>
      <c r="H9" s="22"/>
      <c r="I9" s="23"/>
      <c r="J9" s="24">
        <f>MIN('Precios '!$D9:$I9)</f>
        <v>702088</v>
      </c>
      <c r="K9" s="24">
        <f>AVERAGE('Precios '!$D9:$F9)</f>
        <v>934599</v>
      </c>
      <c r="L9" s="24">
        <f>MAX('Precios '!$D9:$I9)</f>
        <v>1150899</v>
      </c>
      <c r="M9" s="25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</row>
    <row r="10" ht="81.0" customHeight="1">
      <c r="A10" s="18"/>
      <c r="B10" s="27" t="s">
        <v>16</v>
      </c>
      <c r="C10" s="28">
        <v>5.0</v>
      </c>
      <c r="D10" s="29">
        <v>618681.0</v>
      </c>
      <c r="E10" s="29">
        <v>1070881.0</v>
      </c>
      <c r="F10" s="29">
        <v>485520.0</v>
      </c>
      <c r="G10" s="30"/>
      <c r="H10" s="30"/>
      <c r="I10" s="30"/>
      <c r="J10" s="24">
        <f>MIN('Precios '!$D10:$I10)</f>
        <v>485520</v>
      </c>
      <c r="K10" s="24">
        <f>IFERROR(AVERAGE('Precios '!$D10:$F10),"")</f>
        <v>725027.3333</v>
      </c>
      <c r="L10" s="24">
        <f>MAX('Precios '!$D10:$I10)</f>
        <v>1070881</v>
      </c>
      <c r="M10" s="25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</row>
    <row r="11" ht="52.5" customHeight="1">
      <c r="A11" s="18"/>
      <c r="B11" s="27" t="s">
        <v>17</v>
      </c>
      <c r="C11" s="28">
        <v>5.0</v>
      </c>
      <c r="D11" s="29">
        <v>638316.0</v>
      </c>
      <c r="E11" s="29">
        <v>571081.0</v>
      </c>
      <c r="F11" s="29">
        <v>452081.0</v>
      </c>
      <c r="G11" s="30"/>
      <c r="H11" s="30"/>
      <c r="I11" s="30"/>
      <c r="J11" s="24">
        <f>MIN('Precios '!$D11:$I11)</f>
        <v>452081</v>
      </c>
      <c r="K11" s="24">
        <f>AVERAGE('Precios '!$D11:$F11)</f>
        <v>553826</v>
      </c>
      <c r="L11" s="24">
        <f>MAX('Precios '!$D11:$I11)</f>
        <v>638316</v>
      </c>
      <c r="M11" s="25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</row>
    <row r="12" ht="51.0" customHeight="1">
      <c r="A12" s="18"/>
      <c r="B12" s="27" t="s">
        <v>18</v>
      </c>
      <c r="C12" s="28">
        <v>5.0</v>
      </c>
      <c r="D12" s="29">
        <v>178381.0</v>
      </c>
      <c r="E12" s="29">
        <v>523481.0</v>
      </c>
      <c r="F12" s="29">
        <v>200991.0</v>
      </c>
      <c r="G12" s="30"/>
      <c r="H12" s="30"/>
      <c r="I12" s="30"/>
      <c r="J12" s="24">
        <f>MIN('Precios '!$D12:$I12)</f>
        <v>178381</v>
      </c>
      <c r="K12" s="24">
        <f>IFERROR(AVERAGE('Precios '!$D12:$F12),"")</f>
        <v>300951</v>
      </c>
      <c r="L12" s="24">
        <f>MAX('Precios '!$D12:$I12)</f>
        <v>523481</v>
      </c>
      <c r="M12" s="25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</row>
    <row r="13" ht="96.75" customHeight="1">
      <c r="A13" s="18"/>
      <c r="B13" s="27" t="s">
        <v>19</v>
      </c>
      <c r="C13" s="28">
        <v>1.0</v>
      </c>
      <c r="D13" s="29">
        <v>9127145.3</v>
      </c>
      <c r="E13" s="29">
        <v>7852810.0</v>
      </c>
      <c r="F13" s="29">
        <v>1.050583051E7</v>
      </c>
      <c r="G13" s="30"/>
      <c r="H13" s="30"/>
      <c r="I13" s="30"/>
      <c r="J13" s="24">
        <f>MIN('Precios '!$D13:$I13)</f>
        <v>7852810</v>
      </c>
      <c r="K13" s="24">
        <f>IFERROR(AVERAGE('Precios '!$D13:$F13),"")</f>
        <v>9161928.603</v>
      </c>
      <c r="L13" s="24">
        <f>MAX('Precios '!$D13:$I13)</f>
        <v>10505830.51</v>
      </c>
      <c r="M13" s="25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</row>
    <row r="14" ht="91.5" customHeight="1">
      <c r="A14" s="18"/>
      <c r="B14" s="31" t="s">
        <v>20</v>
      </c>
      <c r="C14" s="28">
        <v>5.0</v>
      </c>
      <c r="D14" s="29">
        <v>172550.0</v>
      </c>
      <c r="E14" s="29">
        <v>208250.0</v>
      </c>
      <c r="F14" s="29">
        <v>296310.0</v>
      </c>
      <c r="G14" s="30"/>
      <c r="H14" s="30"/>
      <c r="I14" s="30"/>
      <c r="J14" s="24">
        <f>MIN('Precios '!$D14:$I14)</f>
        <v>172550</v>
      </c>
      <c r="K14" s="24">
        <f>IFERROR(AVERAGE('Precios '!$D14:$F14),"")</f>
        <v>225703.3333</v>
      </c>
      <c r="L14" s="24">
        <f>MAX('Precios '!$D14:$I14)</f>
        <v>296310</v>
      </c>
      <c r="M14" s="25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</row>
    <row r="15" ht="78.0" customHeight="1">
      <c r="A15" s="18"/>
      <c r="B15" s="31" t="s">
        <v>21</v>
      </c>
      <c r="C15" s="28">
        <v>5.0</v>
      </c>
      <c r="D15" s="29">
        <v>106981.0</v>
      </c>
      <c r="E15" s="29">
        <v>71281.0</v>
      </c>
      <c r="F15" s="29">
        <v>118881.0</v>
      </c>
      <c r="G15" s="30"/>
      <c r="H15" s="30"/>
      <c r="I15" s="30"/>
      <c r="J15" s="24">
        <f>MIN('Precios '!$D15:$I15)</f>
        <v>71281</v>
      </c>
      <c r="K15" s="24">
        <f>IFERROR(AVERAGE('Precios '!$D15:$F15),"")</f>
        <v>99047.66667</v>
      </c>
      <c r="L15" s="24">
        <f>MAX('Precios '!$D15:$I15)</f>
        <v>118881</v>
      </c>
      <c r="M15" s="25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</row>
    <row r="16" ht="78.0" customHeight="1">
      <c r="A16" s="18"/>
      <c r="B16" s="31" t="s">
        <v>22</v>
      </c>
      <c r="C16" s="28">
        <v>5.0</v>
      </c>
      <c r="D16" s="29">
        <v>118881.0</v>
      </c>
      <c r="E16" s="29">
        <v>95081.0</v>
      </c>
      <c r="F16" s="29">
        <v>190162.0</v>
      </c>
      <c r="G16" s="30"/>
      <c r="H16" s="30"/>
      <c r="I16" s="30"/>
      <c r="J16" s="24">
        <f>MIN('Precios '!$D16:$I16)</f>
        <v>95081</v>
      </c>
      <c r="K16" s="24">
        <f>IFERROR(AVERAGE('Precios '!$D16:$F16),"")</f>
        <v>134708</v>
      </c>
      <c r="L16" s="24">
        <f>MAX('Precios '!$D16:$I16)</f>
        <v>190162</v>
      </c>
      <c r="M16" s="25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</row>
    <row r="17" ht="129.75" customHeight="1">
      <c r="A17" s="18"/>
      <c r="B17" s="32" t="s">
        <v>23</v>
      </c>
      <c r="C17" s="28">
        <v>5.0</v>
      </c>
      <c r="D17" s="29">
        <v>1307810.0</v>
      </c>
      <c r="E17" s="29">
        <v>714000.0</v>
      </c>
      <c r="F17" s="29">
        <v>452448.0</v>
      </c>
      <c r="G17" s="30"/>
      <c r="H17" s="30"/>
      <c r="I17" s="30"/>
      <c r="J17" s="24">
        <f>MIN('Precios '!$D17:$I17)</f>
        <v>452448</v>
      </c>
      <c r="K17" s="24">
        <f>IFERROR(AVERAGE('Precios '!$D17:$F17),"")</f>
        <v>824752.6667</v>
      </c>
      <c r="L17" s="24">
        <f>MAX('Precios '!$D17:$I17)</f>
        <v>1307810</v>
      </c>
      <c r="M17" s="25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</row>
    <row r="18" ht="75.0" customHeight="1">
      <c r="A18" s="18"/>
      <c r="B18" s="27" t="s">
        <v>24</v>
      </c>
      <c r="C18" s="28">
        <v>1.0</v>
      </c>
      <c r="D18" s="29">
        <v>6480457.97</v>
      </c>
      <c r="E18" s="29">
        <v>107100.0</v>
      </c>
      <c r="F18" s="29">
        <v>0.0</v>
      </c>
      <c r="G18" s="30"/>
      <c r="H18" s="30"/>
      <c r="I18" s="30"/>
      <c r="J18" s="24">
        <f>MIN('Precios '!$D18:$I18)</f>
        <v>0</v>
      </c>
      <c r="K18" s="24">
        <f>IFERROR(AVERAGE('Precios '!$D18:$F18),"")</f>
        <v>2195852.657</v>
      </c>
      <c r="L18" s="24">
        <f>MAX('Precios '!$D18:$I18)</f>
        <v>6480457.97</v>
      </c>
      <c r="M18" s="25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</row>
    <row r="19" ht="60.0" customHeight="1">
      <c r="A19" s="18"/>
      <c r="B19" s="31" t="s">
        <v>25</v>
      </c>
      <c r="C19" s="28">
        <v>1.0</v>
      </c>
      <c r="D19" s="29">
        <v>2157565.2</v>
      </c>
      <c r="E19" s="29">
        <v>4470000.0</v>
      </c>
      <c r="F19" s="29">
        <v>4748100.0</v>
      </c>
      <c r="G19" s="30"/>
      <c r="H19" s="30"/>
      <c r="I19" s="30"/>
      <c r="J19" s="24">
        <f>MIN('Precios '!$D19:$I19)</f>
        <v>2157565.2</v>
      </c>
      <c r="K19" s="24">
        <f>IFERROR(AVERAGE('Precios '!$D19:$F19),"")</f>
        <v>3791888.4</v>
      </c>
      <c r="L19" s="24">
        <f>MAX('Precios '!$D19:$I19)</f>
        <v>4748100</v>
      </c>
      <c r="M19" s="25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</row>
    <row r="20" ht="64.5" customHeight="1">
      <c r="A20" s="18"/>
      <c r="B20" s="27" t="s">
        <v>26</v>
      </c>
      <c r="C20" s="28">
        <v>1.0</v>
      </c>
      <c r="D20" s="29">
        <v>325798.2</v>
      </c>
      <c r="E20" s="29">
        <v>135267.3</v>
      </c>
      <c r="F20" s="29">
        <v>212058.0</v>
      </c>
      <c r="G20" s="30"/>
      <c r="H20" s="30"/>
      <c r="I20" s="30"/>
      <c r="J20" s="24">
        <f>MIN('Precios '!$D20:$I20)</f>
        <v>135267.3</v>
      </c>
      <c r="K20" s="24">
        <f>IFERROR(AVERAGE('Precios '!$D20:$F20),"")</f>
        <v>224374.5</v>
      </c>
      <c r="L20" s="24">
        <f>MAX('Precios '!$D20:$I20)</f>
        <v>325798.2</v>
      </c>
      <c r="M20" s="25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</row>
    <row r="21" ht="48.75" customHeight="1">
      <c r="A21" s="33"/>
      <c r="B21" s="27" t="s">
        <v>27</v>
      </c>
      <c r="C21" s="28">
        <v>1.0</v>
      </c>
      <c r="D21" s="29">
        <v>1640772.0</v>
      </c>
      <c r="E21" s="29">
        <v>1640772.0</v>
      </c>
      <c r="F21" s="29">
        <v>1640772.0</v>
      </c>
      <c r="G21" s="30"/>
      <c r="H21" s="30"/>
      <c r="I21" s="30"/>
      <c r="J21" s="24">
        <f>MIN('Precios '!$D21:$I21)</f>
        <v>1640772</v>
      </c>
      <c r="K21" s="24">
        <f>IFERROR(AVERAGE('Precios '!$D21:$F21),"")</f>
        <v>1640772</v>
      </c>
      <c r="L21" s="24">
        <f>MAX('Precios '!$D21:$I21)</f>
        <v>1640772</v>
      </c>
      <c r="M21" s="33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</row>
    <row r="22" ht="34.5" customHeight="1">
      <c r="A22" s="33"/>
      <c r="B22" s="27" t="s">
        <v>28</v>
      </c>
      <c r="C22" s="28">
        <v>1.0</v>
      </c>
      <c r="D22" s="29">
        <v>1607656.68</v>
      </c>
      <c r="E22" s="29">
        <v>1607656.68</v>
      </c>
      <c r="F22" s="29">
        <v>2050965.0</v>
      </c>
      <c r="G22" s="30"/>
      <c r="H22" s="30"/>
      <c r="I22" s="30"/>
      <c r="J22" s="24">
        <f>MIN('Precios '!$D22:$I22)</f>
        <v>1607656.68</v>
      </c>
      <c r="K22" s="24">
        <f>IFERROR(AVERAGE('Precios '!$D22:$F22),"")</f>
        <v>1755426.12</v>
      </c>
      <c r="L22" s="24">
        <f>MAX('Precios '!$D22:$I22)</f>
        <v>2050965</v>
      </c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</row>
    <row r="23" ht="48.0" customHeight="1">
      <c r="A23" s="33"/>
      <c r="B23" s="34" t="s">
        <v>29</v>
      </c>
      <c r="C23" s="34"/>
      <c r="D23" s="35">
        <f>ROUND(SUMPRODUCT('Precios '!$C$9:$C$22,'Precios '!$D$9:$D$22),2)</f>
        <v>41801445.35</v>
      </c>
      <c r="E23" s="35">
        <f>ROUND(SUMPRODUCT('Precios '!$C$9:$C$22,'Precios '!$E$9:$E$22),2)</f>
        <v>35594320.98</v>
      </c>
      <c r="F23" s="35">
        <f>ROUND(SUMPRODUCT('Precios '!$C$9:$C$22,'Precios '!$F$9:$F$22),2)</f>
        <v>35894185.51</v>
      </c>
      <c r="G23" s="35">
        <f>ROUND(SUMPRODUCT('Precios '!$C$9:$C$19,'Precios '!$G$9:$G$19),2)</f>
        <v>0</v>
      </c>
      <c r="H23" s="35">
        <f>ROUND(SUMPRODUCT('Precios '!$C$9:$C$19,'Precios '!$H$9:$H$19),2)</f>
        <v>0</v>
      </c>
      <c r="I23" s="35">
        <f>ROUND(SUMPRODUCT('Precios '!$C$9:$C$19,'Precios '!$I$9:$I$19),2)</f>
        <v>0</v>
      </c>
      <c r="J23" s="36"/>
      <c r="K23" s="36"/>
      <c r="L23" s="37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</row>
    <row r="24" ht="33.0" customHeight="1">
      <c r="A24" s="33"/>
      <c r="B24" s="38"/>
      <c r="C24" s="38"/>
      <c r="D24" s="38"/>
      <c r="E24" s="38"/>
      <c r="F24" s="38"/>
      <c r="G24" s="38"/>
      <c r="H24" s="38"/>
      <c r="I24" s="38"/>
      <c r="J24" s="38"/>
      <c r="K24" s="6"/>
      <c r="L24" s="6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</row>
    <row r="25" ht="25.5" customHeight="1">
      <c r="A25" s="33"/>
      <c r="B25" s="5"/>
      <c r="C25" s="5"/>
      <c r="D25" s="5"/>
      <c r="E25" s="5"/>
      <c r="F25" s="5"/>
      <c r="G25" s="5"/>
      <c r="H25" s="5"/>
      <c r="I25" s="5"/>
      <c r="J25" s="5"/>
      <c r="K25" s="6"/>
      <c r="L25" s="6"/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</row>
    <row r="26" ht="18.0" customHeight="1">
      <c r="A26" s="33"/>
      <c r="B26" s="39" t="s">
        <v>30</v>
      </c>
      <c r="C26" s="40"/>
      <c r="D26" s="41"/>
      <c r="E26" s="41"/>
      <c r="F26" s="41"/>
      <c r="G26" s="41"/>
      <c r="H26" s="41"/>
      <c r="I26" s="33"/>
      <c r="J26" s="33"/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</row>
    <row r="27" ht="24.75" customHeight="1">
      <c r="A27" s="33"/>
      <c r="B27" s="42" t="s">
        <v>31</v>
      </c>
      <c r="C27" s="43"/>
      <c r="D27" s="44" t="s">
        <v>32</v>
      </c>
      <c r="E27" s="45" t="s">
        <v>33</v>
      </c>
      <c r="F27" s="46" t="s">
        <v>34</v>
      </c>
      <c r="G27" s="47" t="s">
        <v>35</v>
      </c>
      <c r="H27" s="45" t="s">
        <v>36</v>
      </c>
      <c r="I27" s="48" t="s">
        <v>37</v>
      </c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</row>
    <row r="28" ht="24.75" customHeight="1">
      <c r="A28" s="33"/>
      <c r="B28" s="42" t="s">
        <v>38</v>
      </c>
      <c r="C28" s="43"/>
      <c r="D28" s="49">
        <v>0.0</v>
      </c>
      <c r="E28" s="50" t="s">
        <v>39</v>
      </c>
      <c r="F28" s="51" t="s">
        <v>40</v>
      </c>
      <c r="G28" s="52">
        <v>0.0</v>
      </c>
      <c r="H28" s="51" t="s">
        <v>41</v>
      </c>
      <c r="I28" s="51">
        <v>0.0</v>
      </c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</row>
    <row r="29" ht="12.75" customHeight="1">
      <c r="A29" s="53"/>
      <c r="B29" s="54" t="s">
        <v>42</v>
      </c>
      <c r="C29" s="55"/>
      <c r="D29" s="56"/>
      <c r="E29" s="57"/>
      <c r="F29" s="57"/>
      <c r="G29" s="57"/>
      <c r="H29" s="57"/>
      <c r="I29" s="57"/>
      <c r="J29" s="33"/>
      <c r="K29" s="33"/>
      <c r="L29" s="33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9.5" customHeight="1">
      <c r="A30" s="53"/>
      <c r="B30" s="58"/>
      <c r="D30" s="59"/>
      <c r="E30" s="59"/>
      <c r="F30" s="59"/>
      <c r="G30" s="59"/>
      <c r="H30" s="59"/>
      <c r="I30" s="59"/>
      <c r="J30" s="33"/>
      <c r="K30" s="33"/>
      <c r="L30" s="33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25.5" customHeight="1">
      <c r="A31" s="53"/>
      <c r="B31" s="58"/>
      <c r="D31" s="60" t="s">
        <v>43</v>
      </c>
      <c r="E31" s="61" t="s">
        <v>43</v>
      </c>
      <c r="F31" s="61" t="s">
        <v>43</v>
      </c>
      <c r="G31" s="61" t="s">
        <v>43</v>
      </c>
      <c r="H31" s="61" t="s">
        <v>43</v>
      </c>
      <c r="I31" s="61" t="s">
        <v>43</v>
      </c>
      <c r="J31" s="33"/>
      <c r="K31" s="33"/>
      <c r="L31" s="33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2.75" customHeight="1">
      <c r="A32" s="53"/>
      <c r="B32" s="62"/>
      <c r="C32" s="63"/>
      <c r="D32" s="64"/>
      <c r="E32" s="65"/>
      <c r="F32" s="66"/>
      <c r="G32" s="66"/>
      <c r="H32" s="66"/>
      <c r="I32" s="66"/>
      <c r="J32" s="33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2.75" customHeight="1">
      <c r="A33" s="53"/>
      <c r="B33" s="38"/>
      <c r="C33" s="38"/>
      <c r="D33" s="5"/>
      <c r="E33" s="5"/>
      <c r="F33" s="5"/>
      <c r="G33" s="5"/>
      <c r="H33" s="5"/>
      <c r="I33" s="5"/>
      <c r="J33" s="6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2.75" customHeight="1">
      <c r="A34" s="5"/>
      <c r="B34" s="5"/>
      <c r="C34" s="5"/>
      <c r="D34" s="5"/>
      <c r="E34" s="5"/>
      <c r="F34" s="5"/>
      <c r="G34" s="5"/>
      <c r="H34" s="5"/>
      <c r="I34" s="5"/>
      <c r="J34" s="6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2.75" customHeight="1">
      <c r="A35" s="5"/>
      <c r="B35" s="5"/>
      <c r="C35" s="5"/>
      <c r="D35" s="67"/>
      <c r="E35" s="67"/>
      <c r="F35" s="68"/>
      <c r="G35" s="69"/>
      <c r="H35" s="70"/>
      <c r="I35" s="67"/>
      <c r="J35" s="6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2.75" customHeight="1">
      <c r="A36" s="5"/>
      <c r="B36" s="5"/>
      <c r="C36" s="5"/>
      <c r="D36" s="67"/>
      <c r="E36" s="67"/>
      <c r="F36" s="68"/>
      <c r="G36" s="71"/>
      <c r="H36" s="70"/>
      <c r="I36" s="67"/>
      <c r="J36" s="5"/>
      <c r="K36" s="6"/>
      <c r="L36" s="6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2.75" customHeight="1">
      <c r="A37" s="5"/>
      <c r="B37" s="5"/>
      <c r="C37" s="5"/>
      <c r="D37" s="67"/>
      <c r="E37" s="67"/>
      <c r="F37" s="68"/>
      <c r="G37" s="71"/>
      <c r="H37" s="70"/>
      <c r="I37" s="67"/>
      <c r="J37" s="5"/>
      <c r="K37" s="6"/>
      <c r="L37" s="6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2.75" customHeight="1">
      <c r="A38" s="5"/>
      <c r="B38" s="5"/>
      <c r="C38" s="5"/>
      <c r="D38" s="67"/>
      <c r="E38" s="67"/>
      <c r="F38" s="68"/>
      <c r="G38" s="71"/>
      <c r="H38" s="70"/>
      <c r="I38" s="67"/>
      <c r="J38" s="5"/>
      <c r="K38" s="6"/>
      <c r="L38" s="6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2.75" customHeight="1">
      <c r="A39" s="5"/>
      <c r="B39" s="5"/>
      <c r="C39" s="5"/>
      <c r="D39" s="67"/>
      <c r="E39" s="67"/>
      <c r="F39" s="68"/>
      <c r="G39" s="71"/>
      <c r="H39" s="70"/>
      <c r="I39" s="67"/>
      <c r="J39" s="5"/>
      <c r="K39" s="6"/>
      <c r="L39" s="6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2.75" customHeight="1">
      <c r="A40" s="5"/>
      <c r="B40" s="5"/>
      <c r="C40" s="5"/>
      <c r="D40" s="67"/>
      <c r="E40" s="67"/>
      <c r="F40" s="68"/>
      <c r="G40" s="71"/>
      <c r="H40" s="70"/>
      <c r="I40" s="67"/>
      <c r="J40" s="5"/>
      <c r="K40" s="6"/>
      <c r="L40" s="6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2.7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6"/>
      <c r="L41" s="6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2.7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6"/>
      <c r="L42" s="6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2.7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6"/>
      <c r="L43" s="6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2.7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6"/>
      <c r="L44" s="6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2.7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6"/>
      <c r="L45" s="6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2.7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6"/>
      <c r="L46" s="6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2.7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6"/>
      <c r="L47" s="6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2.7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6"/>
      <c r="L48" s="6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2.7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6"/>
      <c r="L49" s="6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2.7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6"/>
      <c r="L50" s="6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2.7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6"/>
      <c r="L51" s="6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2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6"/>
      <c r="L52" s="6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2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6"/>
      <c r="L53" s="6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2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6"/>
      <c r="L54" s="6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2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6"/>
      <c r="L55" s="6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2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6"/>
      <c r="L56" s="6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2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6"/>
      <c r="L57" s="6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2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6"/>
      <c r="L58" s="6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2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6"/>
      <c r="L59" s="6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2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6"/>
      <c r="L60" s="6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2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6"/>
      <c r="L61" s="6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2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6"/>
      <c r="L62" s="6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2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6"/>
      <c r="L63" s="6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2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6"/>
      <c r="L64" s="6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2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6"/>
      <c r="L65" s="6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2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6"/>
      <c r="L66" s="6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2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6"/>
      <c r="L67" s="6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2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6"/>
      <c r="L68" s="6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2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6"/>
      <c r="L69" s="6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2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6"/>
      <c r="L70" s="6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2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6"/>
      <c r="L71" s="6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2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6"/>
      <c r="L72" s="6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2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6"/>
      <c r="L73" s="6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2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6"/>
      <c r="L74" s="6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2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6"/>
      <c r="L75" s="6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2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6"/>
      <c r="L76" s="6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2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6"/>
      <c r="L77" s="6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2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6"/>
      <c r="L78" s="6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2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6"/>
      <c r="L79" s="6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2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6"/>
      <c r="L80" s="6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2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6"/>
      <c r="L81" s="6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2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6"/>
      <c r="L82" s="6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2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6"/>
      <c r="L83" s="6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2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6"/>
      <c r="L84" s="6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2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6"/>
      <c r="L85" s="6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2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6"/>
      <c r="L86" s="6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2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6"/>
      <c r="L87" s="6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2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6"/>
      <c r="L88" s="6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2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6"/>
      <c r="L89" s="6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2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6"/>
      <c r="L90" s="6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2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6"/>
      <c r="L91" s="6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2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6"/>
      <c r="L92" s="6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2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6"/>
      <c r="L93" s="6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2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6"/>
      <c r="L94" s="6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2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6"/>
      <c r="L95" s="6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2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6"/>
      <c r="L96" s="6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2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6"/>
      <c r="L97" s="6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2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6"/>
      <c r="L98" s="6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2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6"/>
      <c r="L99" s="6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2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6"/>
      <c r="L100" s="6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2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6"/>
      <c r="L101" s="6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2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6"/>
      <c r="L102" s="6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2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6"/>
      <c r="L103" s="6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2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6"/>
      <c r="L104" s="6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2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6"/>
      <c r="L105" s="6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2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6"/>
      <c r="L106" s="6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2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6"/>
      <c r="L107" s="6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2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6"/>
      <c r="L108" s="6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2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6"/>
      <c r="L109" s="6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2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6"/>
      <c r="L110" s="6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2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6"/>
      <c r="L111" s="6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2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6"/>
      <c r="L112" s="6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2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6"/>
      <c r="L113" s="6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2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6"/>
      <c r="L114" s="6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2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6"/>
      <c r="L115" s="6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2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6"/>
      <c r="L116" s="6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2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6"/>
      <c r="L117" s="6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2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6"/>
      <c r="L118" s="6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2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6"/>
      <c r="L119" s="6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2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6"/>
      <c r="L120" s="6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2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6"/>
      <c r="L121" s="6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2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6"/>
      <c r="L122" s="6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2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6"/>
      <c r="L123" s="6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2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6"/>
      <c r="L124" s="6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2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6"/>
      <c r="L125" s="6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2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6"/>
      <c r="L126" s="6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2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6"/>
      <c r="L127" s="6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2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6"/>
      <c r="L128" s="6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2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6"/>
      <c r="L129" s="6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2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6"/>
      <c r="L130" s="6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2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6"/>
      <c r="L131" s="6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2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6"/>
      <c r="L132" s="6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2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6"/>
      <c r="L133" s="6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2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6"/>
      <c r="L134" s="6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2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6"/>
      <c r="L135" s="6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2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6"/>
      <c r="L136" s="6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2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6"/>
      <c r="L137" s="6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2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6"/>
      <c r="L138" s="6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2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6"/>
      <c r="L139" s="6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2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6"/>
      <c r="L140" s="6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2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6"/>
      <c r="L141" s="6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2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6"/>
      <c r="L142" s="6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2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6"/>
      <c r="L143" s="6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2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6"/>
      <c r="L144" s="6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2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6"/>
      <c r="L145" s="6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2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6"/>
      <c r="L146" s="6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2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6"/>
      <c r="L147" s="6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2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6"/>
      <c r="L148" s="6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2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6"/>
      <c r="L149" s="6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2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6"/>
      <c r="L150" s="6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2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6"/>
      <c r="L151" s="6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2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6"/>
      <c r="L152" s="6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2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6"/>
      <c r="L153" s="6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2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6"/>
      <c r="L154" s="6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2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6"/>
      <c r="L155" s="6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2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6"/>
      <c r="L156" s="6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2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6"/>
      <c r="L157" s="6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2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6"/>
      <c r="L158" s="6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2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6"/>
      <c r="L159" s="6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2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6"/>
      <c r="L160" s="6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2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6"/>
      <c r="L161" s="6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2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6"/>
      <c r="L162" s="6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2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6"/>
      <c r="L163" s="6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2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6"/>
      <c r="L164" s="6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2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6"/>
      <c r="L165" s="6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2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6"/>
      <c r="L166" s="6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2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6"/>
      <c r="L167" s="6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2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6"/>
      <c r="L168" s="6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2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6"/>
      <c r="L169" s="6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2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6"/>
      <c r="L170" s="6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2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6"/>
      <c r="L171" s="6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2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6"/>
      <c r="L172" s="6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2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6"/>
      <c r="L173" s="6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2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6"/>
      <c r="L174" s="6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2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6"/>
      <c r="L175" s="6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2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6"/>
      <c r="L176" s="6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2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6"/>
      <c r="L177" s="6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2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6"/>
      <c r="L178" s="6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2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6"/>
      <c r="L179" s="6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2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6"/>
      <c r="L180" s="6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2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6"/>
      <c r="L181" s="6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2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6"/>
      <c r="L182" s="6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2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6"/>
      <c r="L183" s="6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2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6"/>
      <c r="L184" s="6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2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6"/>
      <c r="L185" s="6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2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6"/>
      <c r="L186" s="6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2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6"/>
      <c r="L187" s="6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2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6"/>
      <c r="L188" s="6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2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6"/>
      <c r="L189" s="6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2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6"/>
      <c r="L190" s="6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2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6"/>
      <c r="L191" s="6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2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6"/>
      <c r="L192" s="6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2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6"/>
      <c r="L193" s="6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2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6"/>
      <c r="L194" s="6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2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6"/>
      <c r="L195" s="6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2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6"/>
      <c r="L196" s="6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2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6"/>
      <c r="L197" s="6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2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6"/>
      <c r="L198" s="6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2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6"/>
      <c r="L199" s="6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2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6"/>
      <c r="L200" s="6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2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6"/>
      <c r="L201" s="6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2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6"/>
      <c r="L202" s="6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2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6"/>
      <c r="L203" s="6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2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6"/>
      <c r="L204" s="6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2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6"/>
      <c r="L205" s="6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2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6"/>
      <c r="L206" s="6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2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6"/>
      <c r="L207" s="6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2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6"/>
      <c r="L208" s="6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2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6"/>
      <c r="L209" s="6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2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6"/>
      <c r="L210" s="6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2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6"/>
      <c r="L211" s="6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2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6"/>
      <c r="L212" s="6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2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6"/>
      <c r="L213" s="6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2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6"/>
      <c r="L214" s="6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2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6"/>
      <c r="L215" s="6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2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6"/>
      <c r="L216" s="6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2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6"/>
      <c r="L217" s="6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2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6"/>
      <c r="L218" s="6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2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6"/>
      <c r="L219" s="6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2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6"/>
      <c r="L220" s="6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2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6"/>
      <c r="L221" s="6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2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6"/>
      <c r="L222" s="6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2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6"/>
      <c r="L223" s="6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2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6"/>
      <c r="L224" s="6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2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6"/>
      <c r="L225" s="6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2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6"/>
      <c r="L226" s="6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2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6"/>
      <c r="L227" s="6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2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6"/>
      <c r="L228" s="6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2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6"/>
      <c r="L229" s="6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5.75" customHeight="1">
      <c r="B230" s="5"/>
      <c r="C230" s="5"/>
      <c r="D230" s="5"/>
      <c r="E230" s="5"/>
      <c r="F230" s="5"/>
      <c r="G230" s="5"/>
      <c r="H230" s="5"/>
      <c r="I230" s="5"/>
      <c r="J230" s="5"/>
      <c r="K230" s="6"/>
      <c r="L230" s="6"/>
    </row>
    <row r="231" ht="15.75" customHeight="1">
      <c r="B231" s="5"/>
      <c r="C231" s="5"/>
      <c r="D231" s="5"/>
      <c r="E231" s="5"/>
      <c r="F231" s="5"/>
      <c r="G231" s="5"/>
      <c r="H231" s="5"/>
      <c r="I231" s="5"/>
      <c r="J231" s="5"/>
      <c r="K231" s="6"/>
      <c r="L231" s="6"/>
    </row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J7:L7"/>
    <mergeCell ref="B26:C26"/>
    <mergeCell ref="B27:C27"/>
    <mergeCell ref="B28:C28"/>
    <mergeCell ref="B29:C32"/>
  </mergeCells>
  <conditionalFormatting sqref="B8 C8:C9 D23:I23">
    <cfRule type="expression" dxfId="0" priority="1">
      <formula>AND(B$23=MIN($D$23:$I$23),B$23&lt;&gt;0)</formula>
    </cfRule>
  </conditionalFormatting>
  <conditionalFormatting sqref="D8:I9">
    <cfRule type="expression" dxfId="0" priority="2">
      <formula>AND(D$23=MIN($D$23:$I$23),D$23&lt;&gt;0)</formula>
    </cfRule>
  </conditionalFormatting>
  <conditionalFormatting sqref="D9:I23">
    <cfRule type="expression" dxfId="1" priority="3">
      <formula>AND(D$24=MIN($D$24:$I$24),D$24&lt;&gt;0)</formula>
    </cfRule>
  </conditionalFormatting>
  <printOptions/>
  <pageMargins bottom="0.75" footer="0.0" header="0.0" left="0.7" right="0.7" top="0.75"/>
  <pageSetup orientation="portrait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6.83" defaultRowHeight="15.0"/>
  <cols>
    <col customWidth="1" min="1" max="1" width="12.0"/>
    <col customWidth="1" min="2" max="2" width="19.83"/>
    <col customWidth="1" min="3" max="3" width="12.0"/>
    <col customWidth="1" min="4" max="9" width="18.5"/>
  </cols>
  <sheetData>
    <row r="1" ht="11.25" customHeight="1"/>
    <row r="2" ht="11.25" customHeight="1"/>
    <row r="3" ht="11.25" customHeight="1"/>
    <row r="4" ht="11.25" customHeight="1"/>
    <row r="5" ht="11.25" customHeight="1"/>
    <row r="6" ht="11.25" customHeight="1"/>
    <row r="7" ht="11.25" customHeight="1">
      <c r="B7" s="72" t="s">
        <v>44</v>
      </c>
      <c r="C7" s="73">
        <v>1.0</v>
      </c>
      <c r="D7" s="72">
        <v>498.0</v>
      </c>
      <c r="E7" s="72">
        <v>420.0</v>
      </c>
      <c r="F7" s="72">
        <v>450.0</v>
      </c>
      <c r="G7" s="72">
        <v>230.0</v>
      </c>
      <c r="H7" s="72">
        <v>600.0</v>
      </c>
      <c r="I7" s="72">
        <v>520.0</v>
      </c>
    </row>
    <row r="8" ht="11.25" customHeight="1">
      <c r="B8" s="72" t="s">
        <v>45</v>
      </c>
      <c r="C8" s="73">
        <v>2.0</v>
      </c>
      <c r="D8" s="72">
        <v>450.0</v>
      </c>
      <c r="E8" s="72">
        <v>220.0</v>
      </c>
      <c r="F8" s="72">
        <v>405.0</v>
      </c>
      <c r="G8" s="72">
        <v>495.0</v>
      </c>
      <c r="H8" s="72">
        <v>540.0</v>
      </c>
      <c r="I8" s="72">
        <v>200.0</v>
      </c>
    </row>
    <row r="9" ht="11.25" customHeight="1">
      <c r="B9" s="72" t="s">
        <v>46</v>
      </c>
      <c r="C9" s="73">
        <v>2.0</v>
      </c>
      <c r="D9" s="72">
        <v>650.0</v>
      </c>
      <c r="E9" s="72">
        <v>620.0</v>
      </c>
      <c r="F9" s="72">
        <v>666.0</v>
      </c>
      <c r="G9" s="72">
        <v>400.0</v>
      </c>
      <c r="H9" s="72">
        <v>648.0</v>
      </c>
      <c r="I9" s="72">
        <v>452.4</v>
      </c>
    </row>
    <row r="10" ht="11.25" customHeight="1">
      <c r="B10" s="72" t="s">
        <v>47</v>
      </c>
      <c r="C10" s="73">
        <v>1.0</v>
      </c>
      <c r="D10" s="72">
        <v>585.0</v>
      </c>
      <c r="E10" s="72">
        <v>558.0</v>
      </c>
      <c r="F10" s="72">
        <v>320.0</v>
      </c>
      <c r="G10" s="72">
        <v>360.0</v>
      </c>
      <c r="H10" s="72">
        <v>583.2</v>
      </c>
      <c r="I10" s="72">
        <v>407.16</v>
      </c>
    </row>
    <row r="11" ht="11.25" customHeight="1">
      <c r="B11" s="72" t="s">
        <v>48</v>
      </c>
      <c r="C11" s="73">
        <v>3.0</v>
      </c>
      <c r="D11" s="72">
        <v>526.5</v>
      </c>
      <c r="E11" s="72">
        <v>502.2</v>
      </c>
      <c r="F11" s="72">
        <v>539.46</v>
      </c>
      <c r="G11" s="72">
        <v>300.0</v>
      </c>
      <c r="H11" s="72">
        <v>500.0</v>
      </c>
      <c r="I11" s="72">
        <v>366.44</v>
      </c>
    </row>
    <row r="12" ht="11.25" customHeight="1">
      <c r="B12" s="72" t="s">
        <v>49</v>
      </c>
      <c r="C12" s="73">
        <v>1.0</v>
      </c>
      <c r="D12" s="72">
        <v>473.8</v>
      </c>
      <c r="E12" s="72">
        <v>200.0</v>
      </c>
      <c r="F12" s="72">
        <v>485.51</v>
      </c>
      <c r="G12" s="72">
        <v>291.6</v>
      </c>
      <c r="H12" s="72">
        <v>270.0</v>
      </c>
      <c r="I12" s="72">
        <v>220.0</v>
      </c>
    </row>
    <row r="13" ht="11.25" customHeight="1"/>
    <row r="14" ht="11.25" customHeight="1"/>
    <row r="15" ht="11.25" customHeight="1"/>
    <row r="16" ht="11.25" customHeight="1"/>
    <row r="17" ht="11.25" customHeight="1"/>
    <row r="18" ht="11.25" customHeight="1"/>
    <row r="19" ht="11.25" customHeight="1">
      <c r="D19" s="74">
        <v>30.0</v>
      </c>
      <c r="E19" s="48">
        <v>10.0</v>
      </c>
      <c r="F19" s="48">
        <v>15.0</v>
      </c>
      <c r="G19" s="48">
        <v>15.0</v>
      </c>
      <c r="H19" s="48">
        <v>15.0</v>
      </c>
      <c r="I19" s="48">
        <v>10.0</v>
      </c>
    </row>
    <row r="20" ht="11.25" customHeight="1">
      <c r="D20" s="75">
        <v>10.0</v>
      </c>
      <c r="E20" s="51">
        <v>10.0</v>
      </c>
      <c r="F20" s="51">
        <v>10.0</v>
      </c>
      <c r="G20" s="48" t="s">
        <v>50</v>
      </c>
      <c r="H20" s="51">
        <v>5.0</v>
      </c>
      <c r="I20" s="51" t="s">
        <v>50</v>
      </c>
    </row>
    <row r="21" ht="11.25" customHeight="1">
      <c r="D21" s="56" t="s">
        <v>51</v>
      </c>
      <c r="E21" s="57" t="s">
        <v>51</v>
      </c>
      <c r="F21" s="57" t="s">
        <v>52</v>
      </c>
      <c r="G21" s="57" t="s">
        <v>53</v>
      </c>
      <c r="H21" s="57" t="s">
        <v>52</v>
      </c>
      <c r="I21" s="57" t="s">
        <v>52</v>
      </c>
    </row>
    <row r="22" ht="11.25" customHeight="1">
      <c r="D22" s="59" t="s">
        <v>54</v>
      </c>
      <c r="E22" s="76" t="s">
        <v>54</v>
      </c>
      <c r="F22" s="76" t="s">
        <v>55</v>
      </c>
      <c r="G22" s="76" t="s">
        <v>52</v>
      </c>
      <c r="H22" s="76" t="s">
        <v>55</v>
      </c>
      <c r="I22" s="76" t="s">
        <v>55</v>
      </c>
    </row>
    <row r="23" ht="11.25" customHeight="1">
      <c r="D23" s="61"/>
      <c r="E23" s="77"/>
      <c r="F23" s="77"/>
      <c r="G23" s="77"/>
      <c r="H23" s="77"/>
      <c r="I23" s="77"/>
    </row>
    <row r="24" ht="11.25" customHeight="1">
      <c r="D24" s="78"/>
      <c r="E24" s="66"/>
      <c r="F24" s="66"/>
      <c r="G24" s="66"/>
      <c r="H24" s="66"/>
      <c r="I24" s="66"/>
    </row>
    <row r="25" ht="11.25" customHeight="1"/>
    <row r="26" ht="11.25" customHeight="1"/>
    <row r="27" ht="11.25" customHeight="1"/>
    <row r="28" ht="11.25" customHeight="1">
      <c r="B28" s="72" t="s">
        <v>56</v>
      </c>
      <c r="C28" s="73">
        <v>1.0</v>
      </c>
      <c r="D28" s="72">
        <v>340.0</v>
      </c>
      <c r="E28" s="72">
        <v>330.0</v>
      </c>
      <c r="F28" s="72">
        <v>440.0</v>
      </c>
      <c r="G28" s="72">
        <v>400.0</v>
      </c>
      <c r="H28" s="72">
        <v>320.0</v>
      </c>
      <c r="I28" s="72">
        <v>330.0</v>
      </c>
    </row>
    <row r="29" ht="11.25" customHeight="1">
      <c r="B29" s="72" t="s">
        <v>57</v>
      </c>
      <c r="C29" s="73">
        <v>1.0</v>
      </c>
      <c r="D29" s="72">
        <v>220.0</v>
      </c>
      <c r="E29" s="72">
        <v>230.0</v>
      </c>
      <c r="F29" s="72">
        <v>240.0</v>
      </c>
      <c r="G29" s="72">
        <v>220.0</v>
      </c>
      <c r="H29" s="72">
        <v>219.0</v>
      </c>
      <c r="I29" s="72">
        <v>218.0</v>
      </c>
    </row>
    <row r="30" ht="11.25" customHeight="1">
      <c r="B30" s="72" t="s">
        <v>58</v>
      </c>
      <c r="C30" s="73">
        <v>2.0</v>
      </c>
      <c r="D30" s="72">
        <v>560.0</v>
      </c>
      <c r="E30" s="72">
        <v>580.0</v>
      </c>
      <c r="F30" s="72">
        <v>550.0</v>
      </c>
      <c r="G30" s="72">
        <v>520.0</v>
      </c>
      <c r="H30" s="72">
        <v>551.0</v>
      </c>
      <c r="I30" s="72">
        <v>550.0</v>
      </c>
    </row>
    <row r="31" ht="11.25" customHeight="1"/>
    <row r="32" ht="11.25" customHeight="1"/>
    <row r="33" ht="11.25" customHeight="1"/>
    <row r="34" ht="11.25" customHeight="1"/>
    <row r="35" ht="11.25" customHeight="1">
      <c r="B35" s="79" t="s">
        <v>59</v>
      </c>
    </row>
    <row r="36" ht="11.25" customHeight="1">
      <c r="B36" s="80">
        <v>250.0</v>
      </c>
    </row>
    <row r="37" ht="11.25" customHeight="1">
      <c r="B37" s="81">
        <v>440.0</v>
      </c>
    </row>
    <row r="38" ht="11.25" customHeight="1">
      <c r="B38" s="81">
        <v>440.0</v>
      </c>
    </row>
    <row r="39" ht="11.25" customHeight="1">
      <c r="B39" s="81">
        <v>350.0</v>
      </c>
    </row>
    <row r="40" ht="11.25" customHeight="1">
      <c r="B40" s="81">
        <v>420.0</v>
      </c>
    </row>
    <row r="41" ht="11.25" customHeight="1">
      <c r="B41" s="81">
        <v>199.0</v>
      </c>
    </row>
    <row r="42" ht="11.25" customHeight="1"/>
    <row r="43" ht="11.25" customHeight="1"/>
    <row r="44" ht="11.25" customHeight="1"/>
    <row r="45" ht="11.25" customHeight="1"/>
    <row r="46" ht="11.25" customHeight="1"/>
    <row r="47" ht="11.25" customHeight="1"/>
    <row r="48" ht="11.25" customHeight="1"/>
    <row r="49" ht="11.25" customHeight="1"/>
    <row r="50" ht="11.25" customHeight="1"/>
    <row r="51" ht="11.25" customHeight="1"/>
    <row r="52" ht="11.25" customHeight="1"/>
    <row r="53" ht="11.25" customHeight="1"/>
    <row r="54" ht="11.25" customHeight="1"/>
    <row r="55" ht="11.25" customHeight="1"/>
    <row r="56" ht="11.25" customHeight="1"/>
    <row r="57" ht="11.25" customHeight="1"/>
    <row r="58" ht="11.25" customHeight="1"/>
    <row r="59" ht="11.25" customHeight="1"/>
    <row r="60" ht="11.25" customHeight="1"/>
    <row r="61" ht="11.25" customHeight="1"/>
    <row r="62" ht="11.25" customHeight="1"/>
    <row r="63" ht="11.25" customHeight="1"/>
    <row r="64" ht="11.25" customHeight="1"/>
    <row r="65" ht="11.25" customHeight="1"/>
    <row r="66" ht="11.25" customHeight="1"/>
    <row r="67" ht="11.25" customHeight="1"/>
    <row r="68" ht="11.25" customHeight="1"/>
    <row r="69" ht="11.25" customHeight="1"/>
    <row r="70" ht="11.25" customHeight="1"/>
    <row r="71" ht="11.25" customHeight="1"/>
    <row r="72" ht="11.25" customHeight="1"/>
    <row r="73" ht="11.25" customHeight="1"/>
    <row r="74" ht="11.25" customHeight="1"/>
    <row r="75" ht="11.25" customHeight="1"/>
    <row r="76" ht="11.25" customHeight="1"/>
    <row r="77" ht="11.25" customHeight="1"/>
    <row r="78" ht="11.25" customHeight="1"/>
    <row r="79" ht="11.25" customHeight="1"/>
    <row r="80" ht="11.25" customHeight="1"/>
    <row r="81" ht="11.25" customHeight="1"/>
    <row r="82" ht="11.25" customHeight="1"/>
    <row r="83" ht="11.25" customHeight="1"/>
    <row r="84" ht="11.25" customHeight="1"/>
    <row r="85" ht="11.25" customHeight="1"/>
    <row r="86" ht="11.25" customHeight="1"/>
    <row r="87" ht="11.25" customHeight="1"/>
    <row r="88" ht="11.25" customHeight="1"/>
    <row r="89" ht="11.25" customHeight="1"/>
    <row r="90" ht="11.25" customHeight="1"/>
    <row r="91" ht="11.25" customHeight="1"/>
    <row r="92" ht="11.25" customHeight="1"/>
    <row r="93" ht="11.25" customHeight="1"/>
    <row r="94" ht="11.25" customHeight="1"/>
    <row r="95" ht="11.25" customHeight="1"/>
    <row r="96" ht="11.25" customHeight="1"/>
    <row r="97" ht="11.25" customHeight="1"/>
    <row r="98" ht="11.25" customHeight="1"/>
    <row r="99" ht="11.25" customHeight="1"/>
    <row r="100" ht="11.25" customHeight="1"/>
    <row r="101" ht="11.25" customHeight="1"/>
    <row r="102" ht="11.25" customHeight="1"/>
    <row r="103" ht="11.25" customHeight="1"/>
    <row r="104" ht="11.25" customHeight="1"/>
    <row r="105" ht="11.25" customHeight="1"/>
    <row r="106" ht="11.25" customHeight="1"/>
    <row r="107" ht="11.25" customHeight="1"/>
    <row r="108" ht="11.25" customHeight="1"/>
    <row r="109" ht="11.25" customHeight="1"/>
    <row r="110" ht="11.25" customHeight="1"/>
    <row r="111" ht="11.25" customHeight="1"/>
    <row r="112" ht="11.25" customHeight="1"/>
    <row r="113" ht="11.25" customHeight="1"/>
    <row r="114" ht="11.25" customHeight="1"/>
    <row r="115" ht="11.25" customHeight="1"/>
    <row r="116" ht="11.25" customHeight="1"/>
    <row r="117" ht="11.25" customHeight="1"/>
    <row r="118" ht="11.25" customHeight="1"/>
    <row r="119" ht="11.25" customHeight="1"/>
    <row r="120" ht="11.25" customHeight="1"/>
    <row r="121" ht="11.25" customHeight="1"/>
    <row r="122" ht="11.25" customHeight="1"/>
    <row r="123" ht="11.25" customHeight="1"/>
    <row r="124" ht="11.25" customHeight="1"/>
    <row r="125" ht="11.25" customHeight="1"/>
    <row r="126" ht="11.25" customHeight="1"/>
    <row r="127" ht="11.25" customHeight="1"/>
    <row r="128" ht="11.25" customHeight="1"/>
    <row r="129" ht="11.25" customHeight="1"/>
    <row r="130" ht="11.25" customHeight="1"/>
    <row r="131" ht="11.25" customHeight="1"/>
    <row r="132" ht="11.25" customHeight="1"/>
    <row r="133" ht="11.25" customHeight="1"/>
    <row r="134" ht="11.25" customHeight="1"/>
    <row r="135" ht="11.25" customHeight="1"/>
    <row r="136" ht="11.25" customHeight="1"/>
    <row r="137" ht="11.25" customHeight="1"/>
    <row r="138" ht="11.25" customHeight="1"/>
    <row r="139" ht="11.25" customHeight="1"/>
    <row r="140" ht="11.25" customHeight="1"/>
    <row r="141" ht="11.25" customHeight="1"/>
    <row r="142" ht="11.25" customHeight="1"/>
    <row r="143" ht="11.25" customHeight="1"/>
    <row r="144" ht="11.25" customHeight="1"/>
    <row r="145" ht="11.25" customHeight="1"/>
    <row r="146" ht="11.25" customHeight="1"/>
    <row r="147" ht="11.25" customHeight="1"/>
    <row r="148" ht="11.25" customHeight="1"/>
    <row r="149" ht="11.25" customHeight="1"/>
    <row r="150" ht="11.25" customHeight="1"/>
    <row r="151" ht="11.25" customHeight="1"/>
    <row r="152" ht="11.25" customHeight="1"/>
    <row r="153" ht="11.25" customHeight="1"/>
    <row r="154" ht="11.25" customHeight="1"/>
    <row r="155" ht="11.25" customHeight="1"/>
    <row r="156" ht="11.25" customHeight="1"/>
    <row r="157" ht="11.25" customHeight="1"/>
    <row r="158" ht="11.25" customHeight="1"/>
    <row r="159" ht="11.25" customHeight="1"/>
    <row r="160" ht="11.25" customHeight="1"/>
    <row r="161" ht="11.25" customHeight="1"/>
    <row r="162" ht="11.25" customHeight="1"/>
    <row r="163" ht="11.25" customHeight="1"/>
    <row r="164" ht="11.25" customHeight="1"/>
    <row r="165" ht="11.25" customHeight="1"/>
    <row r="166" ht="11.25" customHeight="1"/>
    <row r="167" ht="11.25" customHeight="1"/>
    <row r="168" ht="11.25" customHeight="1"/>
    <row r="169" ht="11.25" customHeight="1"/>
    <row r="170" ht="11.25" customHeight="1"/>
    <row r="171" ht="11.25" customHeight="1"/>
    <row r="172" ht="11.25" customHeight="1"/>
    <row r="173" ht="11.25" customHeight="1"/>
    <row r="174" ht="11.25" customHeight="1"/>
    <row r="175" ht="11.25" customHeight="1"/>
    <row r="176" ht="11.25" customHeight="1"/>
    <row r="177" ht="11.25" customHeight="1"/>
    <row r="178" ht="11.25" customHeight="1"/>
    <row r="179" ht="11.25" customHeight="1"/>
    <row r="180" ht="11.25" customHeight="1"/>
    <row r="181" ht="11.25" customHeight="1"/>
    <row r="182" ht="11.25" customHeight="1"/>
    <row r="183" ht="11.25" customHeight="1"/>
    <row r="184" ht="11.25" customHeight="1"/>
    <row r="185" ht="11.25" customHeight="1"/>
    <row r="186" ht="11.25" customHeight="1"/>
    <row r="187" ht="11.25" customHeight="1"/>
    <row r="188" ht="11.25" customHeight="1"/>
    <row r="189" ht="11.25" customHeight="1"/>
    <row r="190" ht="11.25" customHeight="1"/>
    <row r="191" ht="11.25" customHeight="1"/>
    <row r="192" ht="11.25" customHeight="1"/>
    <row r="193" ht="11.25" customHeight="1"/>
    <row r="194" ht="11.25" customHeight="1"/>
    <row r="195" ht="11.25" customHeight="1"/>
    <row r="196" ht="11.25" customHeight="1"/>
    <row r="197" ht="11.25" customHeight="1"/>
    <row r="198" ht="11.25" customHeight="1"/>
    <row r="199" ht="11.25" customHeight="1"/>
    <row r="200" ht="11.25" customHeight="1"/>
    <row r="201" ht="11.25" customHeight="1"/>
    <row r="202" ht="11.25" customHeight="1"/>
    <row r="203" ht="11.25" customHeight="1"/>
    <row r="204" ht="11.25" customHeight="1"/>
    <row r="205" ht="11.25" customHeight="1"/>
    <row r="206" ht="11.25" customHeight="1"/>
    <row r="207" ht="11.25" customHeight="1"/>
    <row r="208" ht="11.25" customHeight="1"/>
    <row r="209" ht="11.25" customHeight="1"/>
    <row r="210" ht="11.25" customHeight="1"/>
    <row r="211" ht="11.25" customHeight="1"/>
    <row r="212" ht="11.25" customHeight="1"/>
    <row r="213" ht="11.25" customHeight="1"/>
    <row r="214" ht="11.25" customHeight="1"/>
    <row r="215" ht="11.25" customHeight="1"/>
    <row r="216" ht="11.25" customHeight="1"/>
    <row r="217" ht="11.25" customHeight="1"/>
    <row r="218" ht="11.25" customHeight="1"/>
    <row r="219" ht="11.25" customHeight="1"/>
    <row r="220" ht="11.25" customHeight="1"/>
    <row r="221" ht="11.25" customHeight="1"/>
    <row r="222" ht="11.25" customHeight="1"/>
    <row r="223" ht="11.25" customHeight="1"/>
    <row r="224" ht="11.25" customHeight="1"/>
    <row r="225" ht="11.25" customHeight="1"/>
    <row r="226" ht="11.25" customHeight="1"/>
    <row r="227" ht="11.25" customHeight="1"/>
    <row r="228" ht="11.25" customHeight="1"/>
    <row r="229" ht="11.25" customHeight="1"/>
    <row r="230" ht="11.25" customHeight="1"/>
    <row r="231" ht="11.25" customHeight="1"/>
    <row r="232" ht="11.25" customHeight="1"/>
    <row r="233" ht="11.25" customHeight="1"/>
    <row r="234" ht="11.25" customHeight="1"/>
    <row r="235" ht="11.25" customHeight="1"/>
    <row r="236" ht="11.25" customHeight="1"/>
    <row r="237" ht="11.25" customHeight="1"/>
    <row r="238" ht="11.25" customHeight="1"/>
    <row r="239" ht="11.25" customHeight="1"/>
    <row r="240" ht="11.25" customHeight="1"/>
    <row r="241" ht="11.2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D7:I12 D28:I30">
    <cfRule type="expression" dxfId="1" priority="1">
      <formula>AND(D$15=MIN($D$15:$I$15),D$15&lt;&gt;0)</formula>
    </cfRule>
  </conditionalFormatting>
  <printOptions/>
  <pageMargins bottom="0.75" footer="0.0" header="0.0" left="0.7" right="0.7" top="0.75"/>
  <pageSetup orientation="landscape"/>
  <drawing r:id="rId1"/>
</worksheet>
</file>