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acho\Downloads\"/>
    </mc:Choice>
  </mc:AlternateContent>
  <xr:revisionPtr revIDLastSave="0" documentId="13_ncr:1_{1C016ED1-D51B-4C57-9543-C9F835A077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ntt Proyecto Óptica Vir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8" i="1"/>
  <c r="E19" i="1"/>
  <c r="E20" i="1"/>
  <c r="E21" i="1"/>
  <c r="E22" i="1"/>
  <c r="E23" i="1"/>
  <c r="E25" i="1"/>
  <c r="E26" i="1"/>
  <c r="E27" i="1"/>
  <c r="E29" i="1"/>
  <c r="E30" i="1"/>
  <c r="E31" i="1"/>
  <c r="E32" i="1"/>
  <c r="E34" i="1"/>
  <c r="E35" i="1"/>
  <c r="E36" i="1"/>
  <c r="E37" i="1"/>
  <c r="E38" i="1"/>
  <c r="E39" i="1"/>
  <c r="E3" i="1"/>
  <c r="E4" i="1"/>
  <c r="E5" i="1"/>
  <c r="E6" i="1"/>
  <c r="E7" i="1"/>
  <c r="B41" i="1"/>
  <c r="E2" i="1"/>
  <c r="B40" i="1"/>
</calcChain>
</file>

<file path=xl/sharedStrings.xml><?xml version="1.0" encoding="utf-8"?>
<sst xmlns="http://schemas.openxmlformats.org/spreadsheetml/2006/main" count="77" uniqueCount="43">
  <si>
    <t>Actividad</t>
  </si>
  <si>
    <t>Fecha inicio</t>
  </si>
  <si>
    <t>Fecha fin</t>
  </si>
  <si>
    <t>Duración (días)</t>
  </si>
  <si>
    <t xml:space="preserve">TRIMESTRE  </t>
  </si>
  <si>
    <t>TRIMESTRE 1</t>
  </si>
  <si>
    <t>TRIMESTRE 2</t>
  </si>
  <si>
    <t>TRIMESTRE 3</t>
  </si>
  <si>
    <t>TRIMESTRE 4</t>
  </si>
  <si>
    <t>TRIMESTRE 5</t>
  </si>
  <si>
    <t>PROGRESO</t>
  </si>
  <si>
    <t>fecha de inicio</t>
  </si>
  <si>
    <t>fecha final</t>
  </si>
  <si>
    <t>Diseño y Planeación del Proyecto</t>
  </si>
  <si>
    <t>Elaboración del Mapa de Procesos (BPMN del negocio)</t>
  </si>
  <si>
    <t>Aplicación de Técnicas de Recolección y Análisis Descriptivo</t>
  </si>
  <si>
    <t>Especificación de Requerimientos Funcionales y No Funcionales</t>
  </si>
  <si>
    <t>Validación de Requerimientos mediante Prototipo</t>
  </si>
  <si>
    <t>Control de Versiones</t>
  </si>
  <si>
    <t>Análisis Técnico y Estimación de Costos</t>
  </si>
  <si>
    <t>Diseño y Documentación de Casos de Uso</t>
  </si>
  <si>
    <t>Diseño del Modelo Entidad-Relación (Crow’s Foot)</t>
  </si>
  <si>
    <t>Normalización del Modelo Relacional (3FN)</t>
  </si>
  <si>
    <t>Elaboración del Diccionario de Datos</t>
  </si>
  <si>
    <t>Diseño del Diagrama de Clases (UML)</t>
  </si>
  <si>
    <t>Diseño del Diagrama de Despliegue (UML)</t>
  </si>
  <si>
    <t>Implementación de Base de Datos (SQL / MongoDB)</t>
  </si>
  <si>
    <t>Pruebas y Consultas de Base de Datos (DML / CRUD)</t>
  </si>
  <si>
    <t>Encriptación y Seguridad de Datos</t>
  </si>
  <si>
    <t>Desarrollo Front-End con Simulación de Backend y Autenticación</t>
  </si>
  <si>
    <t>Elaborar el prototipo navegable del software (HTML - CSS)</t>
  </si>
  <si>
    <t>Implementación de API REST Segura</t>
  </si>
  <si>
    <t>Integración del Front-End con API REST (80%)</t>
  </si>
  <si>
    <t>Codificación Completa del Proyecto</t>
  </si>
  <si>
    <t>Integración de API REST con Aplicación Móvi</t>
  </si>
  <si>
    <t>Documentación de API REST (Swagger)</t>
  </si>
  <si>
    <t>Aplicación de Metodología Ágil en Proyecto Móvil</t>
  </si>
  <si>
    <t>TRIMESTRE 6</t>
  </si>
  <si>
    <t>Aplicación de Pruebas de Software</t>
  </si>
  <si>
    <t>Plan de Instalación, Respaldo y Migración</t>
  </si>
  <si>
    <t>Implementación de Modelo de Calidad del Software</t>
  </si>
  <si>
    <t>Documentación Técnica y de Usuario</t>
  </si>
  <si>
    <t>Despliegue del Aplicativo según Arquitectura UML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</si>
</sst>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0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0" fontId="0" fillId="8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DIAGRAMA DE GANTT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1208392329183982"/>
          <c:y val="0.14308043847460244"/>
          <c:w val="0.65143310421714884"/>
          <c:h val="0.81469710292062925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'Gantt Proyecto Óptica Virtual'!$B$2:$B$39</c:f>
              <c:strCache>
                <c:ptCount val="38"/>
                <c:pt idx="0">
                  <c:v>Diseño y Planeación del Proyecto</c:v>
                </c:pt>
                <c:pt idx="1">
                  <c:v>Elaboración del Mapa de Procesos (BPMN del negocio)</c:v>
                </c:pt>
                <c:pt idx="2">
                  <c:v>Aplicación de Técnicas de Recolección y Análisis Descriptivo</c:v>
                </c:pt>
                <c:pt idx="3">
                  <c:v>Especificación de Requerimientos Funcionales y No Funcionales</c:v>
                </c:pt>
                <c:pt idx="4">
                  <c:v>Validación de Requerimientos mediante Prototipo</c:v>
                </c:pt>
                <c:pt idx="5">
                  <c:v>Control de Versiones</c:v>
                </c:pt>
                <c:pt idx="6">
                  <c:v>Actividad</c:v>
                </c:pt>
                <c:pt idx="7">
                  <c:v>Análisis Técnico y Estimación de Costos</c:v>
                </c:pt>
                <c:pt idx="8">
                  <c:v>Diseño y Documentación de Casos de Uso</c:v>
                </c:pt>
                <c:pt idx="9">
                  <c:v>Diseño del Modelo Entidad-Relación (Crow’s Foot)</c:v>
                </c:pt>
                <c:pt idx="10">
                  <c:v>Normalización del Modelo Relacional (3FN)</c:v>
                </c:pt>
                <c:pt idx="11">
                  <c:v>Elaboración del Diccionario de Datos</c:v>
                </c:pt>
                <c:pt idx="12">
                  <c:v>Diseño del Diagrama de Clases (UML)</c:v>
                </c:pt>
                <c:pt idx="13">
                  <c:v>Diseño del Diagrama de Despliegue (UML)</c:v>
                </c:pt>
                <c:pt idx="14">
                  <c:v>Control de Versiones</c:v>
                </c:pt>
                <c:pt idx="15">
                  <c:v>Actividad</c:v>
                </c:pt>
                <c:pt idx="16">
                  <c:v>Implementación de Base de Datos (SQL / MongoDB)</c:v>
                </c:pt>
                <c:pt idx="17">
                  <c:v>Pruebas y Consultas de Base de Datos (DML / CRUD)</c:v>
                </c:pt>
                <c:pt idx="18">
                  <c:v>Encriptación y Seguridad de Datos</c:v>
                </c:pt>
                <c:pt idx="19">
                  <c:v>Desarrollo Front-End con Simulación de Backend y Autenticación</c:v>
                </c:pt>
                <c:pt idx="20">
                  <c:v>Control de Versiones</c:v>
                </c:pt>
                <c:pt idx="21">
                  <c:v>Elaborar el prototipo navegable del software (HTML - CSS)</c:v>
                </c:pt>
                <c:pt idx="22">
                  <c:v>Actividad</c:v>
                </c:pt>
                <c:pt idx="23">
                  <c:v>Implementación de API REST Segura</c:v>
                </c:pt>
                <c:pt idx="24">
                  <c:v>Integración del Front-End con API REST (80%)</c:v>
                </c:pt>
                <c:pt idx="25">
                  <c:v>Control de Versiones</c:v>
                </c:pt>
                <c:pt idx="26">
                  <c:v>Actividad</c:v>
                </c:pt>
                <c:pt idx="27">
                  <c:v>Codificación Completa del Proyecto</c:v>
                </c:pt>
                <c:pt idx="28">
                  <c:v>Integración de API REST con Aplicación Móvi</c:v>
                </c:pt>
                <c:pt idx="29">
                  <c:v>Documentación de API REST (Swagger)</c:v>
                </c:pt>
                <c:pt idx="30">
                  <c:v>Aplicación de Metodología Ágil en Proyecto Móvil</c:v>
                </c:pt>
                <c:pt idx="31">
                  <c:v>Actividad</c:v>
                </c:pt>
                <c:pt idx="32">
                  <c:v>Aplicación de Pruebas de Software</c:v>
                </c:pt>
                <c:pt idx="33">
                  <c:v>Plan de Instalación, Respaldo y Migración</c:v>
                </c:pt>
                <c:pt idx="34">
                  <c:v>Implementación de Modelo de Calidad del Software</c:v>
                </c:pt>
                <c:pt idx="35">
                  <c:v>Documentación Técnica y de Usuario</c:v>
                </c:pt>
                <c:pt idx="36">
                  <c:v>Despliegue del Aplicativo según Arquitectura UML</c:v>
                </c:pt>
                <c:pt idx="37">
                  <c:v>Control de Versiones</c:v>
                </c:pt>
              </c:strCache>
            </c:strRef>
          </c:cat>
          <c:val>
            <c:numRef>
              <c:f>'Gantt Proyecto Óptica Virtual'!$C$2:$C$39</c:f>
              <c:numCache>
                <c:formatCode>m/d/yyyy</c:formatCode>
                <c:ptCount val="38"/>
                <c:pt idx="0">
                  <c:v>45853</c:v>
                </c:pt>
                <c:pt idx="1">
                  <c:v>45863</c:v>
                </c:pt>
                <c:pt idx="2">
                  <c:v>45875</c:v>
                </c:pt>
                <c:pt idx="3">
                  <c:v>45890</c:v>
                </c:pt>
                <c:pt idx="4">
                  <c:v>45906</c:v>
                </c:pt>
                <c:pt idx="5">
                  <c:v>45921</c:v>
                </c:pt>
                <c:pt idx="6">
                  <c:v>0</c:v>
                </c:pt>
                <c:pt idx="7">
                  <c:v>45931</c:v>
                </c:pt>
                <c:pt idx="8">
                  <c:v>45941</c:v>
                </c:pt>
                <c:pt idx="9">
                  <c:v>45953</c:v>
                </c:pt>
                <c:pt idx="10">
                  <c:v>45964</c:v>
                </c:pt>
                <c:pt idx="11">
                  <c:v>45971</c:v>
                </c:pt>
                <c:pt idx="12">
                  <c:v>45980</c:v>
                </c:pt>
                <c:pt idx="13">
                  <c:v>45992</c:v>
                </c:pt>
                <c:pt idx="14">
                  <c:v>46002</c:v>
                </c:pt>
                <c:pt idx="15">
                  <c:v>0</c:v>
                </c:pt>
                <c:pt idx="16">
                  <c:v>46055</c:v>
                </c:pt>
                <c:pt idx="17">
                  <c:v>46069</c:v>
                </c:pt>
                <c:pt idx="18">
                  <c:v>46079</c:v>
                </c:pt>
                <c:pt idx="19">
                  <c:v>46089</c:v>
                </c:pt>
                <c:pt idx="20">
                  <c:v>46111</c:v>
                </c:pt>
                <c:pt idx="21">
                  <c:v>46119</c:v>
                </c:pt>
                <c:pt idx="22">
                  <c:v>0</c:v>
                </c:pt>
                <c:pt idx="23">
                  <c:v>46128</c:v>
                </c:pt>
                <c:pt idx="24">
                  <c:v>46153</c:v>
                </c:pt>
                <c:pt idx="25">
                  <c:v>46184</c:v>
                </c:pt>
                <c:pt idx="26">
                  <c:v>0</c:v>
                </c:pt>
                <c:pt idx="27">
                  <c:v>46201</c:v>
                </c:pt>
                <c:pt idx="28">
                  <c:v>46229</c:v>
                </c:pt>
                <c:pt idx="29">
                  <c:v>46253</c:v>
                </c:pt>
                <c:pt idx="30">
                  <c:v>46263</c:v>
                </c:pt>
                <c:pt idx="31" formatCode="[$-F800]dddd\,\ mmmm\ dd\,\ yyyy">
                  <c:v>0</c:v>
                </c:pt>
                <c:pt idx="32">
                  <c:v>46274</c:v>
                </c:pt>
                <c:pt idx="33">
                  <c:v>46286</c:v>
                </c:pt>
                <c:pt idx="34">
                  <c:v>46298</c:v>
                </c:pt>
                <c:pt idx="35">
                  <c:v>46310</c:v>
                </c:pt>
                <c:pt idx="36">
                  <c:v>46322</c:v>
                </c:pt>
                <c:pt idx="37">
                  <c:v>46334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E6-497A-94C0-DFB80F044F2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  <a:softEdge rad="76200"/>
            </a:effectLst>
            <a:scene3d>
              <a:camera prst="orthographicFront"/>
              <a:lightRig rig="threePt" dir="t"/>
            </a:scene3d>
            <a:sp3d>
              <a:bevelT prst="angle"/>
              <a:bevelB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05-7AE6-497A-94C0-DFB80F044F2D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06-7AE6-497A-94C0-DFB80F044F2D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07-7AE6-497A-94C0-DFB80F044F2D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08-7AE6-497A-94C0-DFB80F044F2D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09-7AE6-497A-94C0-DFB80F044F2D}"/>
              </c:ext>
            </c:extLst>
          </c:dPt>
          <c:dPt>
            <c:idx val="5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0A-7AE6-497A-94C0-DFB80F044F2D}"/>
              </c:ext>
            </c:extLst>
          </c:dPt>
          <c:dPt>
            <c:idx val="6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0B-7AE6-497A-94C0-DFB80F044F2D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0C-7AE6-497A-94C0-DFB80F044F2D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0D-7AE6-497A-94C0-DFB80F044F2D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0E-7AE6-497A-94C0-DFB80F044F2D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0F-7AE6-497A-94C0-DFB80F044F2D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10-7AE6-497A-94C0-DFB80F044F2D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11-7AE6-497A-94C0-DFB80F044F2D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12-7AE6-497A-94C0-DFB80F044F2D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13-7AE6-497A-94C0-DFB80F044F2D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14-7AE6-497A-94C0-DFB80F044F2D}"/>
              </c:ext>
            </c:extLst>
          </c:dPt>
          <c:dPt>
            <c:idx val="16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15-7AE6-497A-94C0-DFB80F044F2D}"/>
              </c:ext>
            </c:extLst>
          </c:dPt>
          <c:dPt>
            <c:idx val="17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16-7AE6-497A-94C0-DFB80F044F2D}"/>
              </c:ext>
            </c:extLst>
          </c:dPt>
          <c:dPt>
            <c:idx val="18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33-0B44-47AA-9D86-F5319D1DC74E}"/>
              </c:ext>
            </c:extLst>
          </c:dPt>
          <c:dPt>
            <c:idx val="19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17-7AE6-497A-94C0-DFB80F044F2D}"/>
              </c:ext>
            </c:extLst>
          </c:dPt>
          <c:dPt>
            <c:idx val="2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18-7AE6-497A-94C0-DFB80F044F2D}"/>
              </c:ext>
            </c:extLst>
          </c:dPt>
          <c:dPt>
            <c:idx val="2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34-0B44-47AA-9D86-F5319D1DC74E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19-7AE6-497A-94C0-DFB80F044F2D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1A-7AE6-497A-94C0-DFB80F044F2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1B-7AE6-497A-94C0-DFB80F044F2D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35-0B44-47AA-9D86-F5319D1DC74E}"/>
              </c:ext>
            </c:extLst>
          </c:dPt>
          <c:dPt>
            <c:idx val="2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1C-7AE6-497A-94C0-DFB80F044F2D}"/>
              </c:ext>
            </c:extLst>
          </c:dPt>
          <c:dPt>
            <c:idx val="2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1D-7AE6-497A-94C0-DFB80F044F2D}"/>
              </c:ext>
            </c:extLst>
          </c:dPt>
          <c:dPt>
            <c:idx val="2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36-0B44-47AA-9D86-F5319D1DC74E}"/>
              </c:ext>
            </c:extLst>
          </c:dPt>
          <c:dPt>
            <c:idx val="2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37-0B44-47AA-9D86-F5319D1DC74E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38-0B44-47AA-9D86-F5319D1DC74E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39-0B44-47AA-9D86-F5319D1DC74E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3A-0B44-47AA-9D86-F5319D1DC74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3B-0B44-47AA-9D86-F5319D1DC74E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3C-0B44-47AA-9D86-F5319D1DC74E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3D-0B44-47AA-9D86-F5319D1DC74E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76200"/>
              </a:effectLst>
              <a:scene3d>
                <a:camera prst="orthographicFront"/>
                <a:lightRig rig="threePt" dir="t"/>
              </a:scene3d>
              <a:sp3d>
                <a:bevelT prst="angle"/>
                <a:bevelB/>
              </a:sp3d>
            </c:spPr>
            <c:extLst>
              <c:ext xmlns:c16="http://schemas.microsoft.com/office/drawing/2014/chart" uri="{C3380CC4-5D6E-409C-BE32-E72D297353CC}">
                <c16:uniqueId val="{0000003E-0B44-47AA-9D86-F5319D1DC74E}"/>
              </c:ext>
            </c:extLst>
          </c:dPt>
          <c:cat>
            <c:strRef>
              <c:f>'Gantt Proyecto Óptica Virtual'!$B$2:$B$39</c:f>
              <c:strCache>
                <c:ptCount val="38"/>
                <c:pt idx="0">
                  <c:v>Diseño y Planeación del Proyecto</c:v>
                </c:pt>
                <c:pt idx="1">
                  <c:v>Elaboración del Mapa de Procesos (BPMN del negocio)</c:v>
                </c:pt>
                <c:pt idx="2">
                  <c:v>Aplicación de Técnicas de Recolección y Análisis Descriptivo</c:v>
                </c:pt>
                <c:pt idx="3">
                  <c:v>Especificación de Requerimientos Funcionales y No Funcionales</c:v>
                </c:pt>
                <c:pt idx="4">
                  <c:v>Validación de Requerimientos mediante Prototipo</c:v>
                </c:pt>
                <c:pt idx="5">
                  <c:v>Control de Versiones</c:v>
                </c:pt>
                <c:pt idx="6">
                  <c:v>Actividad</c:v>
                </c:pt>
                <c:pt idx="7">
                  <c:v>Análisis Técnico y Estimación de Costos</c:v>
                </c:pt>
                <c:pt idx="8">
                  <c:v>Diseño y Documentación de Casos de Uso</c:v>
                </c:pt>
                <c:pt idx="9">
                  <c:v>Diseño del Modelo Entidad-Relación (Crow’s Foot)</c:v>
                </c:pt>
                <c:pt idx="10">
                  <c:v>Normalización del Modelo Relacional (3FN)</c:v>
                </c:pt>
                <c:pt idx="11">
                  <c:v>Elaboración del Diccionario de Datos</c:v>
                </c:pt>
                <c:pt idx="12">
                  <c:v>Diseño del Diagrama de Clases (UML)</c:v>
                </c:pt>
                <c:pt idx="13">
                  <c:v>Diseño del Diagrama de Despliegue (UML)</c:v>
                </c:pt>
                <c:pt idx="14">
                  <c:v>Control de Versiones</c:v>
                </c:pt>
                <c:pt idx="15">
                  <c:v>Actividad</c:v>
                </c:pt>
                <c:pt idx="16">
                  <c:v>Implementación de Base de Datos (SQL / MongoDB)</c:v>
                </c:pt>
                <c:pt idx="17">
                  <c:v>Pruebas y Consultas de Base de Datos (DML / CRUD)</c:v>
                </c:pt>
                <c:pt idx="18">
                  <c:v>Encriptación y Seguridad de Datos</c:v>
                </c:pt>
                <c:pt idx="19">
                  <c:v>Desarrollo Front-End con Simulación de Backend y Autenticación</c:v>
                </c:pt>
                <c:pt idx="20">
                  <c:v>Control de Versiones</c:v>
                </c:pt>
                <c:pt idx="21">
                  <c:v>Elaborar el prototipo navegable del software (HTML - CSS)</c:v>
                </c:pt>
                <c:pt idx="22">
                  <c:v>Actividad</c:v>
                </c:pt>
                <c:pt idx="23">
                  <c:v>Implementación de API REST Segura</c:v>
                </c:pt>
                <c:pt idx="24">
                  <c:v>Integración del Front-End con API REST (80%)</c:v>
                </c:pt>
                <c:pt idx="25">
                  <c:v>Control de Versiones</c:v>
                </c:pt>
                <c:pt idx="26">
                  <c:v>Actividad</c:v>
                </c:pt>
                <c:pt idx="27">
                  <c:v>Codificación Completa del Proyecto</c:v>
                </c:pt>
                <c:pt idx="28">
                  <c:v>Integración de API REST con Aplicación Móvi</c:v>
                </c:pt>
                <c:pt idx="29">
                  <c:v>Documentación de API REST (Swagger)</c:v>
                </c:pt>
                <c:pt idx="30">
                  <c:v>Aplicación de Metodología Ágil en Proyecto Móvil</c:v>
                </c:pt>
                <c:pt idx="31">
                  <c:v>Actividad</c:v>
                </c:pt>
                <c:pt idx="32">
                  <c:v>Aplicación de Pruebas de Software</c:v>
                </c:pt>
                <c:pt idx="33">
                  <c:v>Plan de Instalación, Respaldo y Migración</c:v>
                </c:pt>
                <c:pt idx="34">
                  <c:v>Implementación de Modelo de Calidad del Software</c:v>
                </c:pt>
                <c:pt idx="35">
                  <c:v>Documentación Técnica y de Usuario</c:v>
                </c:pt>
                <c:pt idx="36">
                  <c:v>Despliegue del Aplicativo según Arquitectura UML</c:v>
                </c:pt>
                <c:pt idx="37">
                  <c:v>Control de Versiones</c:v>
                </c:pt>
              </c:strCache>
            </c:strRef>
          </c:cat>
          <c:val>
            <c:numRef>
              <c:f>'Gantt Proyecto Óptica Virtual'!$E$2:$E$39</c:f>
              <c:numCache>
                <c:formatCode>General</c:formatCode>
                <c:ptCount val="38"/>
                <c:pt idx="0">
                  <c:v>9</c:v>
                </c:pt>
                <c:pt idx="1">
                  <c:v>11</c:v>
                </c:pt>
                <c:pt idx="2">
                  <c:v>14</c:v>
                </c:pt>
                <c:pt idx="3">
                  <c:v>15</c:v>
                </c:pt>
                <c:pt idx="4">
                  <c:v>14</c:v>
                </c:pt>
                <c:pt idx="5">
                  <c:v>9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6</c:v>
                </c:pt>
                <c:pt idx="11">
                  <c:v>8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0</c:v>
                </c:pt>
                <c:pt idx="16">
                  <c:v>13</c:v>
                </c:pt>
                <c:pt idx="17">
                  <c:v>9</c:v>
                </c:pt>
                <c:pt idx="18">
                  <c:v>9</c:v>
                </c:pt>
                <c:pt idx="19">
                  <c:v>21</c:v>
                </c:pt>
                <c:pt idx="20">
                  <c:v>7</c:v>
                </c:pt>
                <c:pt idx="21">
                  <c:v>7</c:v>
                </c:pt>
                <c:pt idx="22">
                  <c:v>0</c:v>
                </c:pt>
                <c:pt idx="23">
                  <c:v>24</c:v>
                </c:pt>
                <c:pt idx="24">
                  <c:v>30</c:v>
                </c:pt>
                <c:pt idx="25">
                  <c:v>15</c:v>
                </c:pt>
                <c:pt idx="26">
                  <c:v>0</c:v>
                </c:pt>
                <c:pt idx="27">
                  <c:v>27</c:v>
                </c:pt>
                <c:pt idx="28">
                  <c:v>23</c:v>
                </c:pt>
                <c:pt idx="29">
                  <c:v>9</c:v>
                </c:pt>
                <c:pt idx="30">
                  <c:v>9</c:v>
                </c:pt>
                <c:pt idx="31">
                  <c:v>0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E6-497A-94C0-DFB80F044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99"/>
        <c:axId val="1846544831"/>
        <c:axId val="1846550655"/>
      </c:barChart>
      <c:catAx>
        <c:axId val="184654483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6550655"/>
        <c:crosses val="autoZero"/>
        <c:auto val="1"/>
        <c:lblAlgn val="ctr"/>
        <c:lblOffset val="100"/>
        <c:noMultiLvlLbl val="0"/>
      </c:catAx>
      <c:valAx>
        <c:axId val="1846550655"/>
        <c:scaling>
          <c:orientation val="minMax"/>
          <c:max val="46345"/>
          <c:min val="45853"/>
        </c:scaling>
        <c:delete val="0"/>
        <c:axPos val="t"/>
        <c:majorGridlines>
          <c:spPr>
            <a:ln w="9525" cap="flat" cmpd="sng" algn="ctr">
              <a:solidFill>
                <a:srgbClr val="C00000"/>
              </a:solidFill>
              <a:round/>
            </a:ln>
            <a:effectLst/>
          </c:spPr>
        </c:majorGridlines>
        <c:minorGridlines>
          <c:spPr>
            <a:ln w="31750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27000">
                <a:schemeClr val="bg1"/>
              </a:glow>
              <a:outerShdw blurRad="50800" dist="50800" dir="5400000" algn="ctr" rotWithShape="0">
                <a:schemeClr val="bg1"/>
              </a:outerShdw>
              <a:softEdge rad="0"/>
            </a:effectLst>
          </c:spPr>
        </c:min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6544831"/>
        <c:crosses val="autoZero"/>
        <c:crossBetween val="between"/>
        <c:majorUnit val="77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21567</xdr:colOff>
      <xdr:row>0</xdr:row>
      <xdr:rowOff>0</xdr:rowOff>
    </xdr:from>
    <xdr:to>
      <xdr:col>26</xdr:col>
      <xdr:colOff>355600</xdr:colOff>
      <xdr:row>46</xdr:row>
      <xdr:rowOff>136070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841D29F0-19FB-44E7-A14F-758C6DD6E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showGridLines="0" tabSelected="1" zoomScale="57" zoomScaleNormal="57" workbookViewId="0">
      <selection activeCell="B2" sqref="B2:B7"/>
    </sheetView>
  </sheetViews>
  <sheetFormatPr baseColWidth="10" defaultColWidth="9.140625" defaultRowHeight="15" x14ac:dyDescent="0.25"/>
  <cols>
    <col min="1" max="1" width="16.28515625" customWidth="1"/>
    <col min="2" max="2" width="70" bestFit="1" customWidth="1"/>
    <col min="3" max="4" width="15" customWidth="1"/>
    <col min="5" max="5" width="18" customWidth="1"/>
    <col min="6" max="6" width="15" customWidth="1"/>
    <col min="7" max="7" width="23.28515625" customWidth="1"/>
    <col min="8" max="8" width="19.5703125" customWidth="1"/>
  </cols>
  <sheetData>
    <row r="1" spans="1:6" ht="15.75" x14ac:dyDescent="0.25">
      <c r="A1" s="5" t="s">
        <v>4</v>
      </c>
      <c r="B1" s="5" t="s">
        <v>0</v>
      </c>
      <c r="C1" s="14" t="s">
        <v>1</v>
      </c>
      <c r="D1" s="5" t="s">
        <v>2</v>
      </c>
      <c r="E1" s="5" t="s">
        <v>3</v>
      </c>
      <c r="F1" s="5" t="s">
        <v>10</v>
      </c>
    </row>
    <row r="2" spans="1:6" ht="15.75" x14ac:dyDescent="0.25">
      <c r="A2" s="6" t="s">
        <v>5</v>
      </c>
      <c r="B2" s="1" t="s">
        <v>13</v>
      </c>
      <c r="C2" s="2">
        <v>45853</v>
      </c>
      <c r="D2" s="2">
        <v>45862</v>
      </c>
      <c r="E2" s="1">
        <f>D2-C2</f>
        <v>9</v>
      </c>
      <c r="F2" s="3">
        <v>1</v>
      </c>
    </row>
    <row r="3" spans="1:6" ht="15.75" x14ac:dyDescent="0.25">
      <c r="A3" s="1"/>
      <c r="B3" s="1" t="s">
        <v>14</v>
      </c>
      <c r="C3" s="2">
        <v>45863</v>
      </c>
      <c r="D3" s="2">
        <v>45874</v>
      </c>
      <c r="E3" s="1">
        <f t="shared" ref="E3:E39" si="0">D3-C3</f>
        <v>11</v>
      </c>
      <c r="F3" s="3">
        <v>1</v>
      </c>
    </row>
    <row r="4" spans="1:6" ht="15.75" x14ac:dyDescent="0.25">
      <c r="A4" s="1"/>
      <c r="B4" s="1" t="s">
        <v>15</v>
      </c>
      <c r="C4" s="2">
        <v>45875</v>
      </c>
      <c r="D4" s="2">
        <v>45889</v>
      </c>
      <c r="E4" s="1">
        <f t="shared" si="0"/>
        <v>14</v>
      </c>
      <c r="F4" s="3">
        <v>1</v>
      </c>
    </row>
    <row r="5" spans="1:6" ht="15.75" x14ac:dyDescent="0.25">
      <c r="A5" s="1"/>
      <c r="B5" s="1" t="s">
        <v>16</v>
      </c>
      <c r="C5" s="2">
        <v>45890</v>
      </c>
      <c r="D5" s="2">
        <v>45905</v>
      </c>
      <c r="E5" s="1">
        <f t="shared" si="0"/>
        <v>15</v>
      </c>
      <c r="F5" s="3">
        <v>1</v>
      </c>
    </row>
    <row r="6" spans="1:6" ht="15.75" x14ac:dyDescent="0.25">
      <c r="A6" s="1"/>
      <c r="B6" s="1" t="s">
        <v>17</v>
      </c>
      <c r="C6" s="2">
        <v>45906</v>
      </c>
      <c r="D6" s="2">
        <v>45920</v>
      </c>
      <c r="E6" s="1">
        <f t="shared" si="0"/>
        <v>14</v>
      </c>
      <c r="F6" s="3">
        <v>1</v>
      </c>
    </row>
    <row r="7" spans="1:6" ht="15.75" x14ac:dyDescent="0.25">
      <c r="A7" s="1"/>
      <c r="B7" s="1" t="s">
        <v>18</v>
      </c>
      <c r="C7" s="2">
        <v>45921</v>
      </c>
      <c r="D7" s="2">
        <v>45930</v>
      </c>
      <c r="E7" s="1">
        <f t="shared" si="0"/>
        <v>9</v>
      </c>
      <c r="F7" s="3">
        <v>1</v>
      </c>
    </row>
    <row r="8" spans="1:6" ht="15.75" x14ac:dyDescent="0.25">
      <c r="A8" s="5" t="s">
        <v>4</v>
      </c>
      <c r="B8" s="5" t="s">
        <v>0</v>
      </c>
      <c r="C8" s="15" t="s">
        <v>1</v>
      </c>
      <c r="D8" s="5" t="s">
        <v>2</v>
      </c>
      <c r="E8" s="5" t="s">
        <v>3</v>
      </c>
      <c r="F8" s="5" t="s">
        <v>10</v>
      </c>
    </row>
    <row r="9" spans="1:6" ht="15.75" x14ac:dyDescent="0.25">
      <c r="A9" s="10" t="s">
        <v>6</v>
      </c>
      <c r="B9" s="7" t="s">
        <v>19</v>
      </c>
      <c r="C9" s="8">
        <v>45931</v>
      </c>
      <c r="D9" s="8">
        <v>45940</v>
      </c>
      <c r="E9" s="1">
        <f t="shared" si="0"/>
        <v>9</v>
      </c>
      <c r="F9" s="9">
        <v>1</v>
      </c>
    </row>
    <row r="10" spans="1:6" ht="15.75" x14ac:dyDescent="0.25">
      <c r="A10" s="4"/>
      <c r="B10" s="7" t="s">
        <v>20</v>
      </c>
      <c r="C10" s="21">
        <v>45941</v>
      </c>
      <c r="D10" s="8">
        <v>45952</v>
      </c>
      <c r="E10" s="1">
        <f t="shared" si="0"/>
        <v>11</v>
      </c>
      <c r="F10" s="9">
        <v>1</v>
      </c>
    </row>
    <row r="11" spans="1:6" ht="15.75" x14ac:dyDescent="0.25">
      <c r="A11" s="4"/>
      <c r="B11" s="7" t="s">
        <v>21</v>
      </c>
      <c r="C11" s="8">
        <v>45953</v>
      </c>
      <c r="D11" s="8">
        <v>45963</v>
      </c>
      <c r="E11" s="1">
        <f t="shared" si="0"/>
        <v>10</v>
      </c>
      <c r="F11" s="9">
        <v>1</v>
      </c>
    </row>
    <row r="12" spans="1:6" ht="15.75" x14ac:dyDescent="0.25">
      <c r="A12" s="4"/>
      <c r="B12" s="7" t="s">
        <v>22</v>
      </c>
      <c r="C12" s="8">
        <v>45964</v>
      </c>
      <c r="D12" s="8">
        <v>45970</v>
      </c>
      <c r="E12" s="1">
        <f t="shared" si="0"/>
        <v>6</v>
      </c>
      <c r="F12" s="9">
        <v>1</v>
      </c>
    </row>
    <row r="13" spans="1:6" ht="15.75" x14ac:dyDescent="0.25">
      <c r="A13" s="4"/>
      <c r="B13" s="7" t="s">
        <v>23</v>
      </c>
      <c r="C13" s="8">
        <v>45971</v>
      </c>
      <c r="D13" s="8">
        <v>45979</v>
      </c>
      <c r="E13" s="1">
        <f t="shared" si="0"/>
        <v>8</v>
      </c>
      <c r="F13" s="9">
        <v>1</v>
      </c>
    </row>
    <row r="14" spans="1:6" ht="15.75" x14ac:dyDescent="0.25">
      <c r="A14" s="4"/>
      <c r="B14" s="7" t="s">
        <v>24</v>
      </c>
      <c r="C14" s="8">
        <v>45980</v>
      </c>
      <c r="D14" s="8">
        <v>45991</v>
      </c>
      <c r="E14" s="1">
        <f t="shared" si="0"/>
        <v>11</v>
      </c>
      <c r="F14" s="9">
        <v>1</v>
      </c>
    </row>
    <row r="15" spans="1:6" ht="15.75" x14ac:dyDescent="0.25">
      <c r="A15" s="4"/>
      <c r="B15" s="7" t="s">
        <v>25</v>
      </c>
      <c r="C15" s="8">
        <v>45992</v>
      </c>
      <c r="D15" s="8">
        <v>46001</v>
      </c>
      <c r="E15" s="1">
        <f t="shared" si="0"/>
        <v>9</v>
      </c>
      <c r="F15" s="9">
        <v>1</v>
      </c>
    </row>
    <row r="16" spans="1:6" ht="15.75" x14ac:dyDescent="0.25">
      <c r="A16" s="4"/>
      <c r="B16" s="7" t="s">
        <v>18</v>
      </c>
      <c r="C16" s="8">
        <v>46002</v>
      </c>
      <c r="D16" s="8">
        <v>46008</v>
      </c>
      <c r="E16" s="1">
        <f t="shared" si="0"/>
        <v>6</v>
      </c>
      <c r="F16" s="9">
        <v>1</v>
      </c>
    </row>
    <row r="17" spans="1:6" ht="15.75" x14ac:dyDescent="0.25">
      <c r="A17" s="5" t="s">
        <v>4</v>
      </c>
      <c r="B17" s="5" t="s">
        <v>0</v>
      </c>
      <c r="C17" s="15" t="s">
        <v>1</v>
      </c>
      <c r="D17" s="5" t="s">
        <v>2</v>
      </c>
      <c r="E17" s="5" t="s">
        <v>3</v>
      </c>
      <c r="F17" s="5" t="s">
        <v>10</v>
      </c>
    </row>
    <row r="18" spans="1:6" ht="15.75" x14ac:dyDescent="0.25">
      <c r="A18" s="11" t="s">
        <v>7</v>
      </c>
      <c r="B18" s="7" t="s">
        <v>26</v>
      </c>
      <c r="C18" s="8">
        <v>46055</v>
      </c>
      <c r="D18" s="8">
        <v>46068</v>
      </c>
      <c r="E18" s="1">
        <f t="shared" si="0"/>
        <v>13</v>
      </c>
      <c r="F18" s="9">
        <v>0</v>
      </c>
    </row>
    <row r="19" spans="1:6" ht="15.75" x14ac:dyDescent="0.25">
      <c r="A19" s="4"/>
      <c r="B19" s="7" t="s">
        <v>27</v>
      </c>
      <c r="C19" s="8">
        <v>46069</v>
      </c>
      <c r="D19" s="8">
        <v>46078</v>
      </c>
      <c r="E19" s="1">
        <f t="shared" si="0"/>
        <v>9</v>
      </c>
      <c r="F19" s="9">
        <v>0</v>
      </c>
    </row>
    <row r="20" spans="1:6" ht="15.75" x14ac:dyDescent="0.25">
      <c r="A20" s="18"/>
      <c r="B20" s="19" t="s">
        <v>28</v>
      </c>
      <c r="C20" s="8">
        <v>46079</v>
      </c>
      <c r="D20" s="8">
        <v>46088</v>
      </c>
      <c r="E20" s="1">
        <f t="shared" si="0"/>
        <v>9</v>
      </c>
      <c r="F20" s="9">
        <v>0</v>
      </c>
    </row>
    <row r="21" spans="1:6" ht="15.75" x14ac:dyDescent="0.25">
      <c r="A21" s="18"/>
      <c r="B21" s="18" t="s">
        <v>29</v>
      </c>
      <c r="C21" s="8">
        <v>46089</v>
      </c>
      <c r="D21" s="8">
        <v>46110</v>
      </c>
      <c r="E21" s="1">
        <f t="shared" si="0"/>
        <v>21</v>
      </c>
      <c r="F21" s="9">
        <v>0</v>
      </c>
    </row>
    <row r="22" spans="1:6" ht="15.75" x14ac:dyDescent="0.25">
      <c r="A22" s="18"/>
      <c r="B22" s="19" t="s">
        <v>18</v>
      </c>
      <c r="C22" s="8">
        <v>46111</v>
      </c>
      <c r="D22" s="8">
        <v>46118</v>
      </c>
      <c r="E22" s="1">
        <f t="shared" si="0"/>
        <v>7</v>
      </c>
      <c r="F22" s="9">
        <v>0</v>
      </c>
    </row>
    <row r="23" spans="1:6" ht="15.75" x14ac:dyDescent="0.25">
      <c r="A23" s="18"/>
      <c r="B23" s="19" t="s">
        <v>30</v>
      </c>
      <c r="C23" s="8">
        <v>46119</v>
      </c>
      <c r="D23" s="8">
        <v>46126</v>
      </c>
      <c r="E23" s="1">
        <f t="shared" si="0"/>
        <v>7</v>
      </c>
      <c r="F23" s="9">
        <v>0</v>
      </c>
    </row>
    <row r="24" spans="1:6" ht="15.75" x14ac:dyDescent="0.25">
      <c r="A24" s="5" t="s">
        <v>4</v>
      </c>
      <c r="B24" s="5" t="s">
        <v>0</v>
      </c>
      <c r="C24" s="15" t="s">
        <v>1</v>
      </c>
      <c r="D24" s="5" t="s">
        <v>2</v>
      </c>
      <c r="E24" s="5" t="s">
        <v>3</v>
      </c>
      <c r="F24" s="5" t="s">
        <v>10</v>
      </c>
    </row>
    <row r="25" spans="1:6" ht="15.75" x14ac:dyDescent="0.25">
      <c r="A25" s="12" t="s">
        <v>8</v>
      </c>
      <c r="B25" s="7" t="s">
        <v>31</v>
      </c>
      <c r="C25" s="8">
        <v>46128</v>
      </c>
      <c r="D25" s="8">
        <v>46152</v>
      </c>
      <c r="E25" s="1">
        <f t="shared" si="0"/>
        <v>24</v>
      </c>
      <c r="F25" s="9">
        <v>0</v>
      </c>
    </row>
    <row r="26" spans="1:6" ht="15.75" x14ac:dyDescent="0.25">
      <c r="A26" s="4"/>
      <c r="B26" s="7" t="s">
        <v>32</v>
      </c>
      <c r="C26" s="8">
        <v>46153</v>
      </c>
      <c r="D26" s="8">
        <v>46183</v>
      </c>
      <c r="E26" s="1">
        <f t="shared" si="0"/>
        <v>30</v>
      </c>
      <c r="F26" s="9">
        <v>0</v>
      </c>
    </row>
    <row r="27" spans="1:6" ht="15.75" x14ac:dyDescent="0.25">
      <c r="A27" s="4"/>
      <c r="B27" s="7" t="s">
        <v>18</v>
      </c>
      <c r="C27" s="8">
        <v>46184</v>
      </c>
      <c r="D27" s="8">
        <v>46199</v>
      </c>
      <c r="E27" s="1">
        <f t="shared" si="0"/>
        <v>15</v>
      </c>
      <c r="F27" s="9">
        <v>0</v>
      </c>
    </row>
    <row r="28" spans="1:6" ht="15.75" x14ac:dyDescent="0.25">
      <c r="A28" s="5" t="s">
        <v>4</v>
      </c>
      <c r="B28" s="5" t="s">
        <v>0</v>
      </c>
      <c r="C28" s="15" t="s">
        <v>1</v>
      </c>
      <c r="D28" s="5" t="s">
        <v>2</v>
      </c>
      <c r="E28" s="5" t="s">
        <v>3</v>
      </c>
      <c r="F28" s="5" t="s">
        <v>10</v>
      </c>
    </row>
    <row r="29" spans="1:6" ht="15.75" x14ac:dyDescent="0.25">
      <c r="A29" s="13" t="s">
        <v>9</v>
      </c>
      <c r="B29" s="7" t="s">
        <v>33</v>
      </c>
      <c r="C29" s="8">
        <v>46201</v>
      </c>
      <c r="D29" s="8">
        <v>46228</v>
      </c>
      <c r="E29" s="1">
        <f t="shared" si="0"/>
        <v>27</v>
      </c>
      <c r="F29" s="9">
        <v>0</v>
      </c>
    </row>
    <row r="30" spans="1:6" ht="15.75" x14ac:dyDescent="0.25">
      <c r="A30" s="4"/>
      <c r="B30" s="7" t="s">
        <v>34</v>
      </c>
      <c r="C30" s="8">
        <v>46229</v>
      </c>
      <c r="D30" s="8">
        <v>46252</v>
      </c>
      <c r="E30" s="1">
        <f t="shared" si="0"/>
        <v>23</v>
      </c>
      <c r="F30" s="9">
        <v>0</v>
      </c>
    </row>
    <row r="31" spans="1:6" ht="15.75" x14ac:dyDescent="0.25">
      <c r="A31" s="4"/>
      <c r="B31" s="7" t="s">
        <v>35</v>
      </c>
      <c r="C31" s="8">
        <v>46253</v>
      </c>
      <c r="D31" s="8">
        <v>46262</v>
      </c>
      <c r="E31" s="1">
        <f t="shared" si="0"/>
        <v>9</v>
      </c>
      <c r="F31" s="9">
        <v>0</v>
      </c>
    </row>
    <row r="32" spans="1:6" ht="15.75" x14ac:dyDescent="0.25">
      <c r="A32" s="4"/>
      <c r="B32" s="7" t="s">
        <v>36</v>
      </c>
      <c r="C32" s="8">
        <v>46263</v>
      </c>
      <c r="D32" s="8">
        <v>46272</v>
      </c>
      <c r="E32" s="1">
        <f t="shared" si="0"/>
        <v>9</v>
      </c>
      <c r="F32" s="9">
        <v>0</v>
      </c>
    </row>
    <row r="33" spans="1:6" ht="15.75" x14ac:dyDescent="0.25">
      <c r="A33" s="5" t="s">
        <v>4</v>
      </c>
      <c r="B33" s="5" t="s">
        <v>0</v>
      </c>
      <c r="C33" s="14" t="s">
        <v>1</v>
      </c>
      <c r="D33" s="5" t="s">
        <v>2</v>
      </c>
      <c r="E33" s="5" t="s">
        <v>3</v>
      </c>
      <c r="F33" s="5" t="s">
        <v>10</v>
      </c>
    </row>
    <row r="34" spans="1:6" ht="15.75" x14ac:dyDescent="0.25">
      <c r="A34" s="20" t="s">
        <v>37</v>
      </c>
      <c r="B34" s="1" t="s">
        <v>38</v>
      </c>
      <c r="C34" s="2">
        <v>46274</v>
      </c>
      <c r="D34" s="2">
        <v>46285</v>
      </c>
      <c r="E34" s="1">
        <f t="shared" si="0"/>
        <v>11</v>
      </c>
      <c r="F34" s="3">
        <v>0</v>
      </c>
    </row>
    <row r="35" spans="1:6" ht="15.75" x14ac:dyDescent="0.25">
      <c r="A35" s="1"/>
      <c r="B35" s="1" t="s">
        <v>39</v>
      </c>
      <c r="C35" s="2">
        <v>46286</v>
      </c>
      <c r="D35" s="2">
        <v>46297</v>
      </c>
      <c r="E35" s="1">
        <f t="shared" si="0"/>
        <v>11</v>
      </c>
      <c r="F35" s="3">
        <v>0</v>
      </c>
    </row>
    <row r="36" spans="1:6" ht="15.75" x14ac:dyDescent="0.25">
      <c r="A36" s="1"/>
      <c r="B36" s="1" t="s">
        <v>40</v>
      </c>
      <c r="C36" s="2">
        <v>46298</v>
      </c>
      <c r="D36" s="2">
        <v>46309</v>
      </c>
      <c r="E36" s="1">
        <f t="shared" si="0"/>
        <v>11</v>
      </c>
      <c r="F36" s="3">
        <v>0</v>
      </c>
    </row>
    <row r="37" spans="1:6" ht="15.75" x14ac:dyDescent="0.25">
      <c r="A37" s="1"/>
      <c r="B37" s="1" t="s">
        <v>41</v>
      </c>
      <c r="C37" s="2">
        <v>46310</v>
      </c>
      <c r="D37" s="2">
        <v>46321</v>
      </c>
      <c r="E37" s="1">
        <f t="shared" si="0"/>
        <v>11</v>
      </c>
      <c r="F37" s="3">
        <v>0</v>
      </c>
    </row>
    <row r="38" spans="1:6" ht="15.75" x14ac:dyDescent="0.25">
      <c r="A38" s="1"/>
      <c r="B38" s="1" t="s">
        <v>42</v>
      </c>
      <c r="C38" s="2">
        <v>46322</v>
      </c>
      <c r="D38" s="2">
        <v>46333</v>
      </c>
      <c r="E38" s="1">
        <f t="shared" si="0"/>
        <v>11</v>
      </c>
      <c r="F38" s="3">
        <v>0</v>
      </c>
    </row>
    <row r="39" spans="1:6" ht="15.75" x14ac:dyDescent="0.25">
      <c r="A39" s="1"/>
      <c r="B39" s="1" t="s">
        <v>18</v>
      </c>
      <c r="C39" s="2">
        <v>46334</v>
      </c>
      <c r="D39" s="2">
        <v>46345</v>
      </c>
      <c r="E39" s="1">
        <f t="shared" si="0"/>
        <v>11</v>
      </c>
      <c r="F39" s="3">
        <v>0</v>
      </c>
    </row>
    <row r="40" spans="1:6" x14ac:dyDescent="0.25">
      <c r="A40" s="17" t="s">
        <v>11</v>
      </c>
      <c r="B40" s="16">
        <f>C2</f>
        <v>45853</v>
      </c>
    </row>
    <row r="41" spans="1:6" x14ac:dyDescent="0.25">
      <c r="A41" s="17" t="s">
        <v>12</v>
      </c>
      <c r="B41" s="16">
        <f>D39</f>
        <v>46345</v>
      </c>
    </row>
  </sheetData>
  <phoneticPr fontId="4" type="noConversion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Proyecto Óptica Virtual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lacho</cp:lastModifiedBy>
  <dcterms:created xsi:type="dcterms:W3CDTF">2026-02-10T05:08:35Z</dcterms:created>
  <dcterms:modified xsi:type="dcterms:W3CDTF">2026-02-25T17:00:48Z</dcterms:modified>
</cp:coreProperties>
</file>