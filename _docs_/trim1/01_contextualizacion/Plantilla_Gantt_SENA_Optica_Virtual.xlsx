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PRENDIZ\"/>
    </mc:Choice>
  </mc:AlternateContent>
  <xr:revisionPtr revIDLastSave="0" documentId="13_ncr:1_{125B8420-7B45-4CD5-B742-295F6C7E3C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ntt Proyecto Óptica Virtu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E29" i="1"/>
  <c r="E28" i="1"/>
  <c r="E25" i="1"/>
  <c r="E26" i="1"/>
  <c r="E24" i="1"/>
  <c r="E22" i="1"/>
  <c r="E21" i="1"/>
  <c r="E13" i="1"/>
  <c r="E14" i="1"/>
  <c r="E15" i="1"/>
  <c r="E16" i="1"/>
  <c r="E17" i="1"/>
  <c r="E18" i="1"/>
  <c r="E19" i="1"/>
  <c r="E12" i="1"/>
  <c r="E3" i="1"/>
  <c r="E4" i="1"/>
  <c r="E5" i="1"/>
  <c r="E6" i="1"/>
  <c r="E7" i="1"/>
  <c r="E8" i="1"/>
  <c r="E9" i="1"/>
  <c r="E10" i="1"/>
  <c r="B30" i="1"/>
  <c r="B31" i="1"/>
</calcChain>
</file>

<file path=xl/sharedStrings.xml><?xml version="1.0" encoding="utf-8"?>
<sst xmlns="http://schemas.openxmlformats.org/spreadsheetml/2006/main" count="61" uniqueCount="37">
  <si>
    <t>Actividad</t>
  </si>
  <si>
    <t>Fecha inicio</t>
  </si>
  <si>
    <t>Fecha fin</t>
  </si>
  <si>
    <t>Duración (días)</t>
  </si>
  <si>
    <t xml:space="preserve">TRIMESTRE  </t>
  </si>
  <si>
    <t>TRIMESTRE 1</t>
  </si>
  <si>
    <t>Plan de Proyecto</t>
  </si>
  <si>
    <t>Levantamiento de Información</t>
  </si>
  <si>
    <t>Diagrama de Procesos</t>
  </si>
  <si>
    <t>IEEE-830 o Historias de Usuario</t>
  </si>
  <si>
    <t>Diagrama Casos de Uso</t>
  </si>
  <si>
    <t>Casos de Uso Extendido</t>
  </si>
  <si>
    <t>Diagrama de Clases</t>
  </si>
  <si>
    <t>Prototipo No Funcional</t>
  </si>
  <si>
    <t>Patrón de Diseño</t>
  </si>
  <si>
    <t>TRIMESTRE 2</t>
  </si>
  <si>
    <t>Modelo Entidad Relación</t>
  </si>
  <si>
    <t>Modelo Relacional</t>
  </si>
  <si>
    <t>Diccionario de Datos</t>
  </si>
  <si>
    <t>Script de la BBDD</t>
  </si>
  <si>
    <t>Sentencias DDL</t>
  </si>
  <si>
    <t>Consultas DML</t>
  </si>
  <si>
    <t>Automatización de la BBDD</t>
  </si>
  <si>
    <t>Sistema de Información Web – Servidor Local</t>
  </si>
  <si>
    <t>TRIMESTRE 3</t>
  </si>
  <si>
    <t>Planeación de Pruebas</t>
  </si>
  <si>
    <t>Ejecución de Pruebas</t>
  </si>
  <si>
    <t>TRIMESTRE 4</t>
  </si>
  <si>
    <t xml:space="preserve">Manual de Instalación </t>
  </si>
  <si>
    <t>Configuración del Servidor de Aplicaciones</t>
  </si>
  <si>
    <t>Configuración del Servidor de BBDD</t>
  </si>
  <si>
    <t>TRIMESTRE 5</t>
  </si>
  <si>
    <t>Manual de Usuario</t>
  </si>
  <si>
    <t>Sistema de Información Web – Servidor Externo</t>
  </si>
  <si>
    <t>PROGRESO</t>
  </si>
  <si>
    <t>fecha de inicio</t>
  </si>
  <si>
    <t>fecha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</si>
</sst>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0" fillId="0" borderId="1" xfId="0" applyFont="1" applyBorder="1"/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14" fontId="0" fillId="0" borderId="1" xfId="0" applyNumberFormat="1" applyFont="1" applyBorder="1" applyAlignment="1">
      <alignment horizontal="center"/>
    </xf>
    <xf numFmtId="9" fontId="0" fillId="0" borderId="1" xfId="0" applyNumberFormat="1" applyFont="1" applyBorder="1" applyAlignment="1">
      <alignment horizontal="center"/>
    </xf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2" fontId="0" fillId="0" borderId="1" xfId="0" applyNumberFormat="1" applyBorder="1"/>
    <xf numFmtId="0" fontId="0" fillId="8" borderId="1" xfId="0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DIAGRAMA DE GANTT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31208392329183982"/>
          <c:y val="0.14308043847460244"/>
          <c:w val="0.65143310421714884"/>
          <c:h val="0.81469710292062925"/>
        </c:manualLayout>
      </c:layout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'Gantt Proyecto Óptica Virtual'!$B$2:$B$29</c:f>
              <c:strCache>
                <c:ptCount val="28"/>
                <c:pt idx="0">
                  <c:v>Plan de Proyecto</c:v>
                </c:pt>
                <c:pt idx="1">
                  <c:v>Levantamiento de Información</c:v>
                </c:pt>
                <c:pt idx="2">
                  <c:v>Diagrama de Procesos</c:v>
                </c:pt>
                <c:pt idx="3">
                  <c:v>IEEE-830 o Historias de Usuario</c:v>
                </c:pt>
                <c:pt idx="4">
                  <c:v>Diagrama Casos de Uso</c:v>
                </c:pt>
                <c:pt idx="5">
                  <c:v>Casos de Uso Extendido</c:v>
                </c:pt>
                <c:pt idx="6">
                  <c:v>Diagrama de Clases</c:v>
                </c:pt>
                <c:pt idx="7">
                  <c:v>Prototipo No Funcional</c:v>
                </c:pt>
                <c:pt idx="8">
                  <c:v>Patrón de Diseño</c:v>
                </c:pt>
                <c:pt idx="9">
                  <c:v>Actividad</c:v>
                </c:pt>
                <c:pt idx="10">
                  <c:v>Modelo Entidad Relación</c:v>
                </c:pt>
                <c:pt idx="11">
                  <c:v>Modelo Relacional</c:v>
                </c:pt>
                <c:pt idx="12">
                  <c:v>Diccionario de Datos</c:v>
                </c:pt>
                <c:pt idx="13">
                  <c:v>Script de la BBDD</c:v>
                </c:pt>
                <c:pt idx="14">
                  <c:v>Sentencias DDL</c:v>
                </c:pt>
                <c:pt idx="15">
                  <c:v>Consultas DML</c:v>
                </c:pt>
                <c:pt idx="16">
                  <c:v>Automatización de la BBDD</c:v>
                </c:pt>
                <c:pt idx="17">
                  <c:v>Sistema de Información Web – Servidor Local</c:v>
                </c:pt>
                <c:pt idx="18">
                  <c:v>Actividad</c:v>
                </c:pt>
                <c:pt idx="19">
                  <c:v>Planeación de Pruebas</c:v>
                </c:pt>
                <c:pt idx="20">
                  <c:v>Ejecución de Pruebas</c:v>
                </c:pt>
                <c:pt idx="21">
                  <c:v>Actividad</c:v>
                </c:pt>
                <c:pt idx="22">
                  <c:v>Manual de Instalación </c:v>
                </c:pt>
                <c:pt idx="23">
                  <c:v>Configuración del Servidor de Aplicaciones</c:v>
                </c:pt>
                <c:pt idx="24">
                  <c:v>Configuración del Servidor de BBDD</c:v>
                </c:pt>
                <c:pt idx="25">
                  <c:v>Actividad</c:v>
                </c:pt>
                <c:pt idx="26">
                  <c:v>Manual de Usuario</c:v>
                </c:pt>
                <c:pt idx="27">
                  <c:v>Sistema de Información Web – Servidor Externo</c:v>
                </c:pt>
              </c:strCache>
            </c:strRef>
          </c:cat>
          <c:val>
            <c:numRef>
              <c:f>'Gantt Proyecto Óptica Virtual'!$C$2:$C$29</c:f>
              <c:numCache>
                <c:formatCode>m/d/yyyy</c:formatCode>
                <c:ptCount val="28"/>
                <c:pt idx="0">
                  <c:v>45853</c:v>
                </c:pt>
                <c:pt idx="1">
                  <c:v>45859</c:v>
                </c:pt>
                <c:pt idx="2">
                  <c:v>45870</c:v>
                </c:pt>
                <c:pt idx="3">
                  <c:v>45878</c:v>
                </c:pt>
                <c:pt idx="4">
                  <c:v>45889</c:v>
                </c:pt>
                <c:pt idx="5">
                  <c:v>45896</c:v>
                </c:pt>
                <c:pt idx="6">
                  <c:v>45906</c:v>
                </c:pt>
                <c:pt idx="7">
                  <c:v>45915</c:v>
                </c:pt>
                <c:pt idx="8">
                  <c:v>45922</c:v>
                </c:pt>
                <c:pt idx="9">
                  <c:v>0</c:v>
                </c:pt>
                <c:pt idx="10">
                  <c:v>45931</c:v>
                </c:pt>
                <c:pt idx="11">
                  <c:v>45939</c:v>
                </c:pt>
                <c:pt idx="12">
                  <c:v>45947</c:v>
                </c:pt>
                <c:pt idx="13">
                  <c:v>45954</c:v>
                </c:pt>
                <c:pt idx="14">
                  <c:v>45963</c:v>
                </c:pt>
                <c:pt idx="15">
                  <c:v>45972</c:v>
                </c:pt>
                <c:pt idx="16">
                  <c:v>45982</c:v>
                </c:pt>
                <c:pt idx="17">
                  <c:v>45992</c:v>
                </c:pt>
                <c:pt idx="18">
                  <c:v>0</c:v>
                </c:pt>
                <c:pt idx="19">
                  <c:v>46055</c:v>
                </c:pt>
                <c:pt idx="20">
                  <c:v>46085</c:v>
                </c:pt>
                <c:pt idx="21">
                  <c:v>0</c:v>
                </c:pt>
                <c:pt idx="22">
                  <c:v>46132</c:v>
                </c:pt>
                <c:pt idx="23">
                  <c:v>46150</c:v>
                </c:pt>
                <c:pt idx="24">
                  <c:v>46180</c:v>
                </c:pt>
                <c:pt idx="25">
                  <c:v>0</c:v>
                </c:pt>
                <c:pt idx="26">
                  <c:v>46213</c:v>
                </c:pt>
                <c:pt idx="27">
                  <c:v>46239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E6-497A-94C0-DFB80F044F2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  <a:softEdge rad="76200"/>
            </a:effectLst>
            <a:scene3d>
              <a:camera prst="orthographicFront"/>
              <a:lightRig rig="threePt" dir="t"/>
            </a:scene3d>
            <a:sp3d>
              <a:bevelT prst="angle"/>
              <a:bevelB/>
            </a:sp3d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5-7AE6-497A-94C0-DFB80F044F2D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6-7AE6-497A-94C0-DFB80F044F2D}"/>
              </c:ext>
            </c:extLst>
          </c:dPt>
          <c:dPt>
            <c:idx val="2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7-7AE6-497A-94C0-DFB80F044F2D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8-7AE6-497A-94C0-DFB80F044F2D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9-7AE6-497A-94C0-DFB80F044F2D}"/>
              </c:ext>
            </c:extLst>
          </c:dPt>
          <c:dPt>
            <c:idx val="5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A-7AE6-497A-94C0-DFB80F044F2D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B-7AE6-497A-94C0-DFB80F044F2D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C-7AE6-497A-94C0-DFB80F044F2D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D-7AE6-497A-94C0-DFB80F044F2D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E-7AE6-497A-94C0-DFB80F044F2D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0F-7AE6-497A-94C0-DFB80F044F2D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0-7AE6-497A-94C0-DFB80F044F2D}"/>
              </c:ext>
            </c:extLst>
          </c:dPt>
          <c:dPt>
            <c:idx val="1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1-7AE6-497A-94C0-DFB80F044F2D}"/>
              </c:ext>
            </c:extLst>
          </c:dPt>
          <c:dPt>
            <c:idx val="1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2-7AE6-497A-94C0-DFB80F044F2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3-7AE6-497A-94C0-DFB80F044F2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4-7AE6-497A-94C0-DFB80F044F2D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5-7AE6-497A-94C0-DFB80F044F2D}"/>
              </c:ext>
            </c:extLst>
          </c:dPt>
          <c:dPt>
            <c:idx val="1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6-7AE6-497A-94C0-DFB80F044F2D}"/>
              </c:ext>
            </c:extLst>
          </c:dPt>
          <c:dPt>
            <c:idx val="19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7-7AE6-497A-94C0-DFB80F044F2D}"/>
              </c:ext>
            </c:extLst>
          </c:dPt>
          <c:dPt>
            <c:idx val="20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8-7AE6-497A-94C0-DFB80F044F2D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9-7AE6-497A-94C0-DFB80F044F2D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A-7AE6-497A-94C0-DFB80F044F2D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B-7AE6-497A-94C0-DFB80F044F2D}"/>
              </c:ext>
            </c:extLst>
          </c:dPt>
          <c:dPt>
            <c:idx val="2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C-7AE6-497A-94C0-DFB80F044F2D}"/>
              </c:ext>
            </c:extLst>
          </c:dPt>
          <c:dPt>
            <c:idx val="27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  <a:softEdge rad="76200"/>
              </a:effectLst>
              <a:scene3d>
                <a:camera prst="orthographicFront"/>
                <a:lightRig rig="threePt" dir="t"/>
              </a:scene3d>
              <a:sp3d>
                <a:bevelT prst="angle"/>
                <a:bevelB/>
              </a:sp3d>
            </c:spPr>
            <c:extLst>
              <c:ext xmlns:c16="http://schemas.microsoft.com/office/drawing/2014/chart" uri="{C3380CC4-5D6E-409C-BE32-E72D297353CC}">
                <c16:uniqueId val="{0000001D-7AE6-497A-94C0-DFB80F044F2D}"/>
              </c:ext>
            </c:extLst>
          </c:dPt>
          <c:cat>
            <c:strRef>
              <c:f>'Gantt Proyecto Óptica Virtual'!$B$2:$B$29</c:f>
              <c:strCache>
                <c:ptCount val="28"/>
                <c:pt idx="0">
                  <c:v>Plan de Proyecto</c:v>
                </c:pt>
                <c:pt idx="1">
                  <c:v>Levantamiento de Información</c:v>
                </c:pt>
                <c:pt idx="2">
                  <c:v>Diagrama de Procesos</c:v>
                </c:pt>
                <c:pt idx="3">
                  <c:v>IEEE-830 o Historias de Usuario</c:v>
                </c:pt>
                <c:pt idx="4">
                  <c:v>Diagrama Casos de Uso</c:v>
                </c:pt>
                <c:pt idx="5">
                  <c:v>Casos de Uso Extendido</c:v>
                </c:pt>
                <c:pt idx="6">
                  <c:v>Diagrama de Clases</c:v>
                </c:pt>
                <c:pt idx="7">
                  <c:v>Prototipo No Funcional</c:v>
                </c:pt>
                <c:pt idx="8">
                  <c:v>Patrón de Diseño</c:v>
                </c:pt>
                <c:pt idx="9">
                  <c:v>Actividad</c:v>
                </c:pt>
                <c:pt idx="10">
                  <c:v>Modelo Entidad Relación</c:v>
                </c:pt>
                <c:pt idx="11">
                  <c:v>Modelo Relacional</c:v>
                </c:pt>
                <c:pt idx="12">
                  <c:v>Diccionario de Datos</c:v>
                </c:pt>
                <c:pt idx="13">
                  <c:v>Script de la BBDD</c:v>
                </c:pt>
                <c:pt idx="14">
                  <c:v>Sentencias DDL</c:v>
                </c:pt>
                <c:pt idx="15">
                  <c:v>Consultas DML</c:v>
                </c:pt>
                <c:pt idx="16">
                  <c:v>Automatización de la BBDD</c:v>
                </c:pt>
                <c:pt idx="17">
                  <c:v>Sistema de Información Web – Servidor Local</c:v>
                </c:pt>
                <c:pt idx="18">
                  <c:v>Actividad</c:v>
                </c:pt>
                <c:pt idx="19">
                  <c:v>Planeación de Pruebas</c:v>
                </c:pt>
                <c:pt idx="20">
                  <c:v>Ejecución de Pruebas</c:v>
                </c:pt>
                <c:pt idx="21">
                  <c:v>Actividad</c:v>
                </c:pt>
                <c:pt idx="22">
                  <c:v>Manual de Instalación </c:v>
                </c:pt>
                <c:pt idx="23">
                  <c:v>Configuración del Servidor de Aplicaciones</c:v>
                </c:pt>
                <c:pt idx="24">
                  <c:v>Configuración del Servidor de BBDD</c:v>
                </c:pt>
                <c:pt idx="25">
                  <c:v>Actividad</c:v>
                </c:pt>
                <c:pt idx="26">
                  <c:v>Manual de Usuario</c:v>
                </c:pt>
                <c:pt idx="27">
                  <c:v>Sistema de Información Web – Servidor Externo</c:v>
                </c:pt>
              </c:strCache>
            </c:strRef>
          </c:cat>
          <c:val>
            <c:numRef>
              <c:f>'Gantt Proyecto Óptica Virtual'!$E$2:$E$29</c:f>
              <c:numCache>
                <c:formatCode>General</c:formatCode>
                <c:ptCount val="28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10</c:v>
                </c:pt>
                <c:pt idx="4">
                  <c:v>6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8</c:v>
                </c:pt>
                <c:pt idx="9">
                  <c:v>0</c:v>
                </c:pt>
                <c:pt idx="10">
                  <c:v>7</c:v>
                </c:pt>
                <c:pt idx="11">
                  <c:v>7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9</c:v>
                </c:pt>
                <c:pt idx="16">
                  <c:v>9</c:v>
                </c:pt>
                <c:pt idx="17">
                  <c:v>16</c:v>
                </c:pt>
                <c:pt idx="18">
                  <c:v>0</c:v>
                </c:pt>
                <c:pt idx="19">
                  <c:v>29</c:v>
                </c:pt>
                <c:pt idx="20">
                  <c:v>41</c:v>
                </c:pt>
                <c:pt idx="21">
                  <c:v>0</c:v>
                </c:pt>
                <c:pt idx="22">
                  <c:v>17</c:v>
                </c:pt>
                <c:pt idx="23">
                  <c:v>29</c:v>
                </c:pt>
                <c:pt idx="24">
                  <c:v>29</c:v>
                </c:pt>
                <c:pt idx="25">
                  <c:v>0</c:v>
                </c:pt>
                <c:pt idx="26">
                  <c:v>25</c:v>
                </c:pt>
                <c:pt idx="27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E6-497A-94C0-DFB80F044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99"/>
        <c:axId val="1846544831"/>
        <c:axId val="1846550655"/>
      </c:barChart>
      <c:catAx>
        <c:axId val="184654483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846550655"/>
        <c:crosses val="autoZero"/>
        <c:auto val="1"/>
        <c:lblAlgn val="ctr"/>
        <c:lblOffset val="100"/>
        <c:noMultiLvlLbl val="0"/>
      </c:catAx>
      <c:valAx>
        <c:axId val="1846550655"/>
        <c:scaling>
          <c:orientation val="minMax"/>
          <c:max val="46288"/>
          <c:min val="45853"/>
        </c:scaling>
        <c:delete val="0"/>
        <c:axPos val="t"/>
        <c:majorGridlines>
          <c:spPr>
            <a:ln w="9525" cap="flat" cmpd="sng" algn="ctr">
              <a:solidFill>
                <a:srgbClr val="C00000"/>
              </a:solidFill>
              <a:round/>
            </a:ln>
            <a:effectLst/>
          </c:spPr>
        </c:majorGridlines>
        <c:minorGridlines>
          <c:spPr>
            <a:ln w="3175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>
              <a:glow rad="127000">
                <a:schemeClr val="bg1"/>
              </a:glow>
              <a:outerShdw blurRad="50800" dist="50800" dir="5400000" algn="ctr" rotWithShape="0">
                <a:schemeClr val="bg1"/>
              </a:outerShdw>
              <a:softEdge rad="0"/>
            </a:effectLst>
          </c:spPr>
        </c:min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846544831"/>
        <c:crosses val="autoZero"/>
        <c:crossBetween val="between"/>
        <c:majorUnit val="77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212067</xdr:colOff>
      <xdr:row>0</xdr:row>
      <xdr:rowOff>0</xdr:rowOff>
    </xdr:from>
    <xdr:to>
      <xdr:col>21</xdr:col>
      <xdr:colOff>268741</xdr:colOff>
      <xdr:row>30</xdr:row>
      <xdr:rowOff>38100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841D29F0-19FB-44E7-A14F-758C6DD6E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"/>
  <sheetViews>
    <sheetView showGridLines="0" tabSelected="1" zoomScale="89" zoomScaleNormal="89" workbookViewId="0">
      <selection activeCell="C34" sqref="C34"/>
    </sheetView>
  </sheetViews>
  <sheetFormatPr baseColWidth="10" defaultColWidth="9.140625" defaultRowHeight="15" x14ac:dyDescent="0.25"/>
  <cols>
    <col min="1" max="1" width="16.28515625" customWidth="1"/>
    <col min="2" max="2" width="42.7109375" customWidth="1"/>
    <col min="3" max="4" width="15" customWidth="1"/>
    <col min="5" max="5" width="18" customWidth="1"/>
    <col min="6" max="6" width="15" customWidth="1"/>
    <col min="7" max="7" width="23.28515625" customWidth="1"/>
    <col min="8" max="8" width="19.5703125" customWidth="1"/>
  </cols>
  <sheetData>
    <row r="1" spans="1:6" ht="15.75" x14ac:dyDescent="0.25">
      <c r="A1" s="5" t="s">
        <v>4</v>
      </c>
      <c r="B1" s="5" t="s">
        <v>0</v>
      </c>
      <c r="C1" s="14" t="s">
        <v>1</v>
      </c>
      <c r="D1" s="5" t="s">
        <v>2</v>
      </c>
      <c r="E1" s="5" t="s">
        <v>3</v>
      </c>
      <c r="F1" s="5" t="s">
        <v>34</v>
      </c>
    </row>
    <row r="2" spans="1:6" ht="15.75" x14ac:dyDescent="0.25">
      <c r="A2" s="6" t="s">
        <v>5</v>
      </c>
      <c r="B2" s="1" t="s">
        <v>6</v>
      </c>
      <c r="C2" s="2">
        <v>45853</v>
      </c>
      <c r="D2" s="2">
        <v>45858</v>
      </c>
      <c r="E2" s="1">
        <f>D2-C2</f>
        <v>5</v>
      </c>
      <c r="F2" s="3">
        <v>1</v>
      </c>
    </row>
    <row r="3" spans="1:6" ht="15.75" x14ac:dyDescent="0.25">
      <c r="A3" s="1"/>
      <c r="B3" s="1" t="s">
        <v>7</v>
      </c>
      <c r="C3" s="2">
        <v>45859</v>
      </c>
      <c r="D3" s="2">
        <v>45869</v>
      </c>
      <c r="E3" s="1">
        <f t="shared" ref="E3:E10" si="0">D3-C3</f>
        <v>10</v>
      </c>
      <c r="F3" s="3">
        <v>1</v>
      </c>
    </row>
    <row r="4" spans="1:6" ht="15.75" x14ac:dyDescent="0.25">
      <c r="A4" s="1"/>
      <c r="B4" s="1" t="s">
        <v>8</v>
      </c>
      <c r="C4" s="2">
        <v>45870</v>
      </c>
      <c r="D4" s="2">
        <v>45877</v>
      </c>
      <c r="E4" s="1">
        <f t="shared" si="0"/>
        <v>7</v>
      </c>
      <c r="F4" s="3">
        <v>1</v>
      </c>
    </row>
    <row r="5" spans="1:6" ht="15.75" x14ac:dyDescent="0.25">
      <c r="A5" s="1"/>
      <c r="B5" s="1" t="s">
        <v>9</v>
      </c>
      <c r="C5" s="2">
        <v>45878</v>
      </c>
      <c r="D5" s="2">
        <v>45888</v>
      </c>
      <c r="E5" s="1">
        <f t="shared" si="0"/>
        <v>10</v>
      </c>
      <c r="F5" s="3">
        <v>1</v>
      </c>
    </row>
    <row r="6" spans="1:6" ht="15.75" x14ac:dyDescent="0.25">
      <c r="A6" s="1"/>
      <c r="B6" s="1" t="s">
        <v>10</v>
      </c>
      <c r="C6" s="2">
        <v>45889</v>
      </c>
      <c r="D6" s="2">
        <v>45895</v>
      </c>
      <c r="E6" s="1">
        <f t="shared" si="0"/>
        <v>6</v>
      </c>
      <c r="F6" s="3">
        <v>1</v>
      </c>
    </row>
    <row r="7" spans="1:6" ht="15.75" x14ac:dyDescent="0.25">
      <c r="A7" s="1"/>
      <c r="B7" s="1" t="s">
        <v>11</v>
      </c>
      <c r="C7" s="2">
        <v>45896</v>
      </c>
      <c r="D7" s="2">
        <v>45905</v>
      </c>
      <c r="E7" s="1">
        <f t="shared" si="0"/>
        <v>9</v>
      </c>
      <c r="F7" s="3">
        <v>1</v>
      </c>
    </row>
    <row r="8" spans="1:6" ht="15.75" x14ac:dyDescent="0.25">
      <c r="A8" s="1"/>
      <c r="B8" s="1" t="s">
        <v>12</v>
      </c>
      <c r="C8" s="2">
        <v>45906</v>
      </c>
      <c r="D8" s="2">
        <v>45914</v>
      </c>
      <c r="E8" s="1">
        <f t="shared" si="0"/>
        <v>8</v>
      </c>
      <c r="F8" s="3">
        <v>1</v>
      </c>
    </row>
    <row r="9" spans="1:6" ht="15.75" x14ac:dyDescent="0.25">
      <c r="A9" s="1"/>
      <c r="B9" s="1" t="s">
        <v>13</v>
      </c>
      <c r="C9" s="2">
        <v>45915</v>
      </c>
      <c r="D9" s="2">
        <v>45922</v>
      </c>
      <c r="E9" s="1">
        <f t="shared" si="0"/>
        <v>7</v>
      </c>
      <c r="F9" s="3">
        <v>1</v>
      </c>
    </row>
    <row r="10" spans="1:6" ht="15.75" x14ac:dyDescent="0.25">
      <c r="A10" s="1"/>
      <c r="B10" s="1" t="s">
        <v>14</v>
      </c>
      <c r="C10" s="2">
        <v>45922</v>
      </c>
      <c r="D10" s="2">
        <v>45930</v>
      </c>
      <c r="E10" s="1">
        <f t="shared" si="0"/>
        <v>8</v>
      </c>
      <c r="F10" s="3">
        <v>1</v>
      </c>
    </row>
    <row r="11" spans="1:6" ht="15.75" x14ac:dyDescent="0.25">
      <c r="A11" s="5" t="s">
        <v>4</v>
      </c>
      <c r="B11" s="5" t="s">
        <v>0</v>
      </c>
      <c r="C11" s="15" t="s">
        <v>1</v>
      </c>
      <c r="D11" s="5" t="s">
        <v>2</v>
      </c>
      <c r="E11" s="5" t="s">
        <v>3</v>
      </c>
      <c r="F11" s="5" t="s">
        <v>34</v>
      </c>
    </row>
    <row r="12" spans="1:6" x14ac:dyDescent="0.25">
      <c r="A12" s="10" t="s">
        <v>15</v>
      </c>
      <c r="B12" s="7" t="s">
        <v>16</v>
      </c>
      <c r="C12" s="8">
        <v>45931</v>
      </c>
      <c r="D12" s="8">
        <v>45938</v>
      </c>
      <c r="E12" s="7">
        <f>D12-C12</f>
        <v>7</v>
      </c>
      <c r="F12" s="9">
        <v>1</v>
      </c>
    </row>
    <row r="13" spans="1:6" x14ac:dyDescent="0.25">
      <c r="A13" s="4"/>
      <c r="B13" s="7" t="s">
        <v>17</v>
      </c>
      <c r="C13" s="18">
        <v>45939</v>
      </c>
      <c r="D13" s="8">
        <v>45946</v>
      </c>
      <c r="E13" s="7">
        <f t="shared" ref="E13:E19" si="1">D13-C13</f>
        <v>7</v>
      </c>
      <c r="F13" s="9">
        <v>1</v>
      </c>
    </row>
    <row r="14" spans="1:6" x14ac:dyDescent="0.25">
      <c r="A14" s="4"/>
      <c r="B14" s="7" t="s">
        <v>18</v>
      </c>
      <c r="C14" s="8">
        <v>45947</v>
      </c>
      <c r="D14" s="8">
        <v>45953</v>
      </c>
      <c r="E14" s="7">
        <f t="shared" si="1"/>
        <v>6</v>
      </c>
      <c r="F14" s="9">
        <v>1</v>
      </c>
    </row>
    <row r="15" spans="1:6" x14ac:dyDescent="0.25">
      <c r="A15" s="4"/>
      <c r="B15" s="7" t="s">
        <v>19</v>
      </c>
      <c r="C15" s="8">
        <v>45954</v>
      </c>
      <c r="D15" s="8">
        <v>45962</v>
      </c>
      <c r="E15" s="7">
        <f t="shared" si="1"/>
        <v>8</v>
      </c>
      <c r="F15" s="9">
        <v>1</v>
      </c>
    </row>
    <row r="16" spans="1:6" x14ac:dyDescent="0.25">
      <c r="A16" s="4"/>
      <c r="B16" s="7" t="s">
        <v>20</v>
      </c>
      <c r="C16" s="8">
        <v>45963</v>
      </c>
      <c r="D16" s="8">
        <v>45971</v>
      </c>
      <c r="E16" s="7">
        <f t="shared" si="1"/>
        <v>8</v>
      </c>
      <c r="F16" s="9">
        <v>1</v>
      </c>
    </row>
    <row r="17" spans="1:6" x14ac:dyDescent="0.25">
      <c r="A17" s="4"/>
      <c r="B17" s="7" t="s">
        <v>21</v>
      </c>
      <c r="C17" s="8">
        <v>45972</v>
      </c>
      <c r="D17" s="8">
        <v>45981</v>
      </c>
      <c r="E17" s="7">
        <f t="shared" si="1"/>
        <v>9</v>
      </c>
      <c r="F17" s="9">
        <v>1</v>
      </c>
    </row>
    <row r="18" spans="1:6" x14ac:dyDescent="0.25">
      <c r="A18" s="4"/>
      <c r="B18" s="7" t="s">
        <v>22</v>
      </c>
      <c r="C18" s="8">
        <v>45982</v>
      </c>
      <c r="D18" s="8">
        <v>45991</v>
      </c>
      <c r="E18" s="7">
        <f t="shared" si="1"/>
        <v>9</v>
      </c>
      <c r="F18" s="9">
        <v>1</v>
      </c>
    </row>
    <row r="19" spans="1:6" x14ac:dyDescent="0.25">
      <c r="A19" s="4"/>
      <c r="B19" s="7" t="s">
        <v>23</v>
      </c>
      <c r="C19" s="8">
        <v>45992</v>
      </c>
      <c r="D19" s="8">
        <v>46008</v>
      </c>
      <c r="E19" s="7">
        <f t="shared" si="1"/>
        <v>16</v>
      </c>
      <c r="F19" s="9">
        <v>1</v>
      </c>
    </row>
    <row r="20" spans="1:6" ht="15.75" x14ac:dyDescent="0.25">
      <c r="A20" s="5" t="s">
        <v>4</v>
      </c>
      <c r="B20" s="5" t="s">
        <v>0</v>
      </c>
      <c r="C20" s="15" t="s">
        <v>1</v>
      </c>
      <c r="D20" s="5" t="s">
        <v>2</v>
      </c>
      <c r="E20" s="5" t="s">
        <v>3</v>
      </c>
      <c r="F20" s="5" t="s">
        <v>34</v>
      </c>
    </row>
    <row r="21" spans="1:6" x14ac:dyDescent="0.25">
      <c r="A21" s="11" t="s">
        <v>24</v>
      </c>
      <c r="B21" s="7" t="s">
        <v>25</v>
      </c>
      <c r="C21" s="8">
        <v>46055</v>
      </c>
      <c r="D21" s="8">
        <v>46084</v>
      </c>
      <c r="E21" s="7">
        <f>D21-C21</f>
        <v>29</v>
      </c>
      <c r="F21" s="9">
        <v>0</v>
      </c>
    </row>
    <row r="22" spans="1:6" x14ac:dyDescent="0.25">
      <c r="A22" s="4"/>
      <c r="B22" s="7" t="s">
        <v>26</v>
      </c>
      <c r="C22" s="8">
        <v>46085</v>
      </c>
      <c r="D22" s="8">
        <v>46126</v>
      </c>
      <c r="E22" s="7">
        <f>D22-C22</f>
        <v>41</v>
      </c>
      <c r="F22" s="9">
        <v>0</v>
      </c>
    </row>
    <row r="23" spans="1:6" ht="15.75" x14ac:dyDescent="0.25">
      <c r="A23" s="5" t="s">
        <v>4</v>
      </c>
      <c r="B23" s="5" t="s">
        <v>0</v>
      </c>
      <c r="C23" s="15" t="s">
        <v>1</v>
      </c>
      <c r="D23" s="5" t="s">
        <v>2</v>
      </c>
      <c r="E23" s="5" t="s">
        <v>3</v>
      </c>
      <c r="F23" s="5" t="s">
        <v>34</v>
      </c>
    </row>
    <row r="24" spans="1:6" x14ac:dyDescent="0.25">
      <c r="A24" s="12" t="s">
        <v>27</v>
      </c>
      <c r="B24" s="7" t="s">
        <v>28</v>
      </c>
      <c r="C24" s="8">
        <v>46132</v>
      </c>
      <c r="D24" s="8">
        <v>46149</v>
      </c>
      <c r="E24" s="7">
        <f>D24-C24</f>
        <v>17</v>
      </c>
      <c r="F24" s="9">
        <v>0</v>
      </c>
    </row>
    <row r="25" spans="1:6" x14ac:dyDescent="0.25">
      <c r="A25" s="4"/>
      <c r="B25" s="7" t="s">
        <v>29</v>
      </c>
      <c r="C25" s="8">
        <v>46150</v>
      </c>
      <c r="D25" s="8">
        <v>46179</v>
      </c>
      <c r="E25" s="7">
        <f t="shared" ref="E25:E26" si="2">D25-C25</f>
        <v>29</v>
      </c>
      <c r="F25" s="9">
        <v>0</v>
      </c>
    </row>
    <row r="26" spans="1:6" x14ac:dyDescent="0.25">
      <c r="A26" s="4"/>
      <c r="B26" s="7" t="s">
        <v>30</v>
      </c>
      <c r="C26" s="8">
        <v>46180</v>
      </c>
      <c r="D26" s="8">
        <v>46209</v>
      </c>
      <c r="E26" s="7">
        <f t="shared" si="2"/>
        <v>29</v>
      </c>
      <c r="F26" s="9">
        <v>0</v>
      </c>
    </row>
    <row r="27" spans="1:6" ht="15.75" x14ac:dyDescent="0.25">
      <c r="A27" s="5" t="s">
        <v>4</v>
      </c>
      <c r="B27" s="5" t="s">
        <v>0</v>
      </c>
      <c r="C27" s="15" t="s">
        <v>1</v>
      </c>
      <c r="D27" s="5" t="s">
        <v>2</v>
      </c>
      <c r="E27" s="5" t="s">
        <v>3</v>
      </c>
      <c r="F27" s="5" t="s">
        <v>34</v>
      </c>
    </row>
    <row r="28" spans="1:6" x14ac:dyDescent="0.25">
      <c r="A28" s="13" t="s">
        <v>31</v>
      </c>
      <c r="B28" s="7" t="s">
        <v>32</v>
      </c>
      <c r="C28" s="8">
        <v>46213</v>
      </c>
      <c r="D28" s="8">
        <v>46238</v>
      </c>
      <c r="E28" s="7">
        <f>D28-C28</f>
        <v>25</v>
      </c>
      <c r="F28" s="9">
        <v>0</v>
      </c>
    </row>
    <row r="29" spans="1:6" x14ac:dyDescent="0.25">
      <c r="A29" s="4"/>
      <c r="B29" s="7" t="s">
        <v>33</v>
      </c>
      <c r="C29" s="8">
        <v>46239</v>
      </c>
      <c r="D29" s="8">
        <v>46288</v>
      </c>
      <c r="E29" s="7">
        <f>D29-C29</f>
        <v>49</v>
      </c>
      <c r="F29" s="9">
        <v>0</v>
      </c>
    </row>
    <row r="30" spans="1:6" x14ac:dyDescent="0.25">
      <c r="A30" s="17" t="s">
        <v>35</v>
      </c>
      <c r="B30" s="16">
        <f>C2</f>
        <v>45853</v>
      </c>
    </row>
    <row r="31" spans="1:6" x14ac:dyDescent="0.25">
      <c r="A31" s="17" t="s">
        <v>36</v>
      </c>
      <c r="B31" s="16">
        <f>D29</f>
        <v>46288</v>
      </c>
    </row>
  </sheetData>
  <phoneticPr fontId="4" type="noConversion"/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Gantt Proyecto Óptica Virtual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APRENDIZ</cp:lastModifiedBy>
  <dcterms:created xsi:type="dcterms:W3CDTF">2026-02-10T05:08:35Z</dcterms:created>
  <dcterms:modified xsi:type="dcterms:W3CDTF">2026-02-11T19:38:06Z</dcterms:modified>
</cp:coreProperties>
</file>